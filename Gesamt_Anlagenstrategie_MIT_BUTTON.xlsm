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drawings/drawing1.xml" ContentType="application/vnd.openxmlformats-officedocument.drawing+xml"/>
  <ns0:Override PartName="/xl/worksheets/sheet3.xml" ContentType="application/vnd.openxmlformats-officedocument.spreadsheetml.worksheet+xml"/>
  <ns0:Override PartName="/xl/drawings/drawing2.xml" ContentType="application/vnd.openxmlformats-officedocument.drawing+xml"/>
  <ns0:Override PartName="/xl/worksheets/sheet4.xml" ContentType="application/vnd.openxmlformats-officedocument.spreadsheetml.worksheet+xml"/>
  <ns0:Override PartName="/xl/worksheets/sheet5.xml" ContentType="application/vnd.openxmlformats-officedocument.spreadsheetml.worksheet+xml"/>
  <ns0:Override PartName="/xl/worksheets/sheet6.xml" ContentType="application/vnd.openxmlformats-officedocument.spreadsheetml.worksheet+xml"/>
  <ns0:Override PartName="/xl/connections.xml" ContentType="application/vnd.openxmlformats-officedocument.spreadsheetml.connections+xml"/>
  <ns0:Override PartName="/xl/tables/table1.xml" ContentType="application/vnd.openxmlformats-officedocument.spreadsheetml.table+xml"/>
  <ns0:Override PartName="/xl/queryTables/queryTable1.xml" ContentType="application/vnd.openxmlformats-officedocument.spreadsheetml.queryTable+xml"/>
  <ns0:Override PartName="/customXml/itemProps1.xml" ContentType="application/vnd.openxmlformats-officedocument.customXmlProperties+xml"/>
  <ns0:Override PartName="/xl/vbaProject.bin" ContentType="application/vnd.ms-office.vbaProject"/>
  <ns0:Default Extension="vml" ContentType="application/vnd.openxmlformats-officedocument.vmlDrawing"/>
</ns0:Types>
</file>

<file path=_rels/.rels><?xml version='1.0' encoding='utf-8'?>
<ns0:Relationships xmlns:ns0="http://schemas.openxmlformats.org/package/2006/relationships"><ns0:Relationship Type="http://schemas.openxmlformats.org/officeDocument/2006/relationships/officeDocument" Target="/xl/workbook.xml" Id="R487cb8010c68462d" /><ns0:Relationship Id="rId1" Type="http://schemas.openxmlformats.org/officeDocument/2006/relationships/customXml" Target="customXml/item1.xml" /></ns0: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Gesamtanlage" sheetId="9" r:id="R71c1e8da96e64b79"/>
    <x:sheet xmlns:r="http://schemas.openxmlformats.org/officeDocument/2006/relationships" name="Wachstumsstrategie" sheetId="5" r:id="Rd7f5160e5c47446f"/>
    <x:sheet xmlns:r="http://schemas.openxmlformats.org/officeDocument/2006/relationships" name="Dividendenstrategie" sheetId="8" r:id="R865628d909614d10"/>
    <x:sheet xmlns:r="http://schemas.openxmlformats.org/officeDocument/2006/relationships" name="Dividendenermittlung im Bestand" sheetId="7" r:id="Re62d583a3ab44691"/>
    <x:sheet xmlns:r="http://schemas.openxmlformats.org/officeDocument/2006/relationships" name="Dividendenermittlung Neuanlage" sheetId="2" r:id="Rbd7784d062444c3b"/>
    <x:sheet xmlns:r="http://schemas.openxmlformats.org/officeDocument/2006/relationships" name="Fondsdaten Auto" sheetId="10" r:id="Rf5e3b6e5bebf480f"/>
  </x:sheets>
</x:workbook>
</file>

<file path=xl/connections.xml><?xml version="1.0" encoding="utf-8"?>
<connections xmlns="http://schemas.openxmlformats.org/spreadsheetml/2006/main" xmlns:ns1="http://schemas.openxmlformats.org/markup-compatibility/2006" xmlns:ns2="http://schemas.microsoft.com/office/spreadsheetml/2017/revision16" ns1:Ignorable="xr16">
  <connection id="1" ns2:uid="{00000000-0015-0000-FFFF-FFFF00000000}" keepAlive="1" name="Abfrage - Kursdetails" description="Verbindung mit der Abfrage 'Kursdetails' in der Arbeitsmappe." type="5" refreshedVersion="0" background="0" saveData="1" refreshOnLoad="1">
    <dbPr connection="Provider=Microsoft.Mashup.OleDb.1;Data Source=$Workbook$;Location=Kursdetails;Extended Properties=&quot;&quot;" command="SELECT * FROM [Kursdetails]"/>
  </connection>
</connections>
</file>

<file path=xl/sharedStrings.xml><?xml version="1.0" encoding="utf-8"?>
<x:sst xmlns:x="http://schemas.openxmlformats.org/spreadsheetml/2006/main">
  <x:si>
    <x:t xml:space="preserve">Diversifizierte Anlagestrategie</x:t>
  </x:si>
  <x:si>
    <x:t xml:space="preserve">1.</x:t>
  </x:si>
  <x:si>
    <x:t xml:space="preserve">Versicherungssparen</x:t>
  </x:si>
  <x:si>
    <x:t xml:space="preserve">2.</x:t>
  </x:si>
  <x:si>
    <x:t xml:space="preserve">Immobiliensparen</x:t>
  </x:si>
  <x:si>
    <x:t xml:space="preserve">3.</x:t>
  </x:si>
  <x:si>
    <x:t xml:space="preserve">Rücklagen</x:t>
  </x:si>
  <x:si>
    <x:t xml:space="preserve">4.</x:t>
  </x:si>
  <x:si>
    <x:t xml:space="preserve">Rentenfonds/Anleihen</x:t>
  </x:si>
  <x:si>
    <x:t xml:space="preserve">5.</x:t>
  </x:si>
  <x:si>
    <x:t xml:space="preserve">Dividendenfonds</x:t>
  </x:si>
  <x:si>
    <x:t xml:space="preserve">6.</x:t>
  </x:si>
  <x:si>
    <x:t xml:space="preserve">Aktienfonds</x:t>
  </x:si>
  <x:si>
    <x:t xml:space="preserve">7.</x:t>
  </x:si>
  <x:si>
    <x:t xml:space="preserve">Edelmetalle</x:t>
  </x:si>
  <x:si>
    <x:t xml:space="preserve">8.</x:t>
  </x:si>
  <x:si>
    <x:t xml:space="preserve">Alternative Investments</x:t>
  </x:si>
  <x:si>
    <x:t xml:space="preserve">priv. Rentenvers.</x:t>
  </x:si>
  <x:si>
    <x:t xml:space="preserve">eigene Immobilie</x:t>
  </x:si>
  <x:si>
    <x:t xml:space="preserve">Girokonto</x:t>
  </x:si>
  <x:si>
    <x:t xml:space="preserve">Geldmarkt</x:t>
  </x:si>
  <x:si>
    <x:t xml:space="preserve">monatl. ausschüttend</x:t>
  </x:si>
  <x:si>
    <x:t xml:space="preserve">Wachstumswerte</x:t>
  </x:si>
  <x:si>
    <x:t xml:space="preserve">Silber</x:t>
  </x:si>
  <x:si>
    <x:t xml:space="preserve">Vermögens-und </x:t>
  </x:si>
  <x:si>
    <x:t xml:space="preserve">Kapitallebensvers.</x:t>
  </x:si>
  <x:si>
    <x:t xml:space="preserve">vermietete Immob.</x:t>
  </x:si>
  <x:si>
    <x:t xml:space="preserve">Tagesgeld</x:t>
  </x:si>
  <x:si>
    <x:t xml:space="preserve">Rentenfonds</x:t>
  </x:si>
  <x:si>
    <x:t xml:space="preserve">jährl. ausschüttend</x:t>
  </x:si>
  <x:si>
    <x:t xml:space="preserve">Standartwerte</x:t>
  </x:si>
  <x:si>
    <x:t xml:space="preserve">Gold</x:t>
  </x:si>
  <x:si>
    <x:t xml:space="preserve">Einkommensplan</x:t>
  </x:si>
  <x:si>
    <x:t xml:space="preserve">RiesterRente</x:t>
  </x:si>
  <x:si>
    <x:t xml:space="preserve">Ferienwohnung</x:t>
  </x:si>
  <x:si>
    <x:t xml:space="preserve">Sparbuch</x:t>
  </x:si>
  <x:si>
    <x:t xml:space="preserve">Mischfonds</x:t>
  </x:si>
  <x:si>
    <x:t xml:space="preserve">Themenfonds</x:t>
  </x:si>
  <x:si>
    <x:t xml:space="preserve">Kupfer</x:t>
  </x:si>
  <x:si>
    <x:t xml:space="preserve">BAV</x:t>
  </x:si>
  <x:si>
    <x:t xml:space="preserve">Bausparen</x:t>
  </x:si>
  <x:si>
    <x:t xml:space="preserve">Branchenfonds</x:t>
  </x:si>
  <x:si>
    <x:t xml:space="preserve">BasisRente</x:t>
  </x:si>
  <x:si>
    <x:t xml:space="preserve">sonst. Vers.</x:t>
  </x:si>
  <x:si>
    <x:t xml:space="preserve">derzeitiger Stand</x:t>
  </x:si>
  <x:si>
    <x:t xml:space="preserve">neuer Stand</x:t>
  </x:si>
  <x:si>
    <x:t xml:space="preserve">am</x:t>
  </x:si>
  <x:si>
    <x:t xml:space="preserve">2.a</x:t>
  </x:si>
  <x:si>
    <x:t xml:space="preserve">2.b</x:t>
  </x:si>
  <x:si>
    <x:t xml:space="preserve">Gesamt</x:t>
  </x:si>
  <x:si>
    <x:t xml:space="preserve">Anlagestrategie_2025</x:t>
  </x:si>
  <x:si>
    <x:t xml:space="preserve">Gesamtanlage</x:t>
  </x:si>
  <x:si>
    <x:t xml:space="preserve">Anlagebetrag</x:t>
  </x:si>
  <x:si>
    <x:t xml:space="preserve">Bestand neu</x:t>
  </x:si>
  <x:si>
    <x:t xml:space="preserve">Dividendenanlage 30%</x:t>
  </x:si>
  <x:si>
    <x:t xml:space="preserve">Wachstums- &amp; Sicherheitsanlage 50%</x:t>
  </x:si>
  <x:si>
    <x:t xml:space="preserve">Edelmetallanlage 10%</x:t>
  </x:si>
  <x:si>
    <x:t xml:space="preserve">alternative Investments 10%</x:t>
  </x:si>
  <x:si>
    <x:t xml:space="preserve">Dividendenfonds </x:t>
  </x:si>
  <x:si>
    <x:t xml:space="preserve">Aktienfonds </x:t>
  </x:si>
  <x:si>
    <x:t xml:space="preserve">Geldmarkt-, Renten- </x:t>
  </x:si>
  <x:si>
    <x:t xml:space="preserve">Gold / Silber </x:t>
  </x:si>
  <x:si>
    <x:t xml:space="preserve">Goldente </x:t>
  </x:si>
  <x:si>
    <x:t xml:space="preserve">Vermögens- &amp;</x:t>
  </x:si>
  <x:si>
    <x:t xml:space="preserve">sonstige Fonds</x:t>
  </x:si>
  <x:si>
    <x:t xml:space="preserve">jährlich ausschüttend</x:t>
  </x:si>
  <x:si>
    <x:t xml:space="preserve">UND /</x:t>
  </x:si>
  <x:si>
    <x:t xml:space="preserve">monatlich ausschüttend</x:t>
  </x:si>
  <x:si>
    <x:t xml:space="preserve">UND</x:t>
  </x:si>
  <x:si>
    <x:t xml:space="preserve">und Mischfonds </x:t>
  </x:si>
  <x:si>
    <x:t xml:space="preserve">Kauf </x:t>
  </x:si>
  <x:si>
    <x:t xml:space="preserve">Rente </x:t>
  </x:si>
  <x:si>
    <x:t xml:space="preserve">im Bestand</x:t>
  </x:si>
  <x:si>
    <x:t xml:space="preserve">ODER</x:t>
  </x:si>
  <x:si>
    <x:t xml:space="preserve">A +B + C</x:t>
  </x:si>
  <x:si>
    <x:t xml:space="preserve">D + E + F + G + H</x:t>
  </x:si>
  <x:si>
    <x:t xml:space="preserve"> I + J +K + L + M</x:t>
  </x:si>
  <x:si>
    <x:t xml:space="preserve"> N + O + P</x:t>
  </x:si>
  <x:si>
    <x:t xml:space="preserve">Q</x:t>
  </x:si>
  <x:si>
    <x:t xml:space="preserve">R</x:t>
  </x:si>
  <x:si>
    <x:t xml:space="preserve">S</x:t>
  </x:si>
  <x:si>
    <x:t xml:space="preserve">T</x:t>
  </x:si>
  <x:si>
    <x:t xml:space="preserve">Summe</x:t>
  </x:si>
  <x:si>
    <x:t xml:space="preserve">Ziel</x:t>
  </x:si>
  <x:si>
    <x:t xml:space="preserve">Ist</x:t>
  </x:si>
  <x:si>
    <x:t xml:space="preserve">Fonds</x:t>
  </x:si>
  <x:si>
    <x:t xml:space="preserve">WKN</x:t>
  </x:si>
  <x:si>
    <x:t xml:space="preserve">Beschreibung</x:t>
  </x:si>
  <x:si>
    <x:t xml:space="preserve">Anlageverteilung</x:t>
  </x:si>
  <x:si>
    <x:t xml:space="preserve">Empfehlung</x:t>
  </x:si>
  <x:si>
    <x:t xml:space="preserve">Bestand</x:t>
  </x:si>
  <x:si>
    <x:t xml:space="preserve">Anteile</x:t>
  </x:si>
  <x:si>
    <x:t xml:space="preserve">Verkauf</x:t>
  </x:si>
  <x:si>
    <x:t xml:space="preserve">Kauf</x:t>
  </x:si>
  <x:si>
    <x:t xml:space="preserve">Anlage Neu</x:t>
  </x:si>
  <x:si>
    <x:t xml:space="preserve">Sparpläne</x:t>
  </x:si>
  <x:si>
    <x:t xml:space="preserve">Aussch. p.a. Neu</x:t>
  </x:si>
  <x:si>
    <x:t xml:space="preserve">Aussch. mtl. Neu</x:t>
  </x:si>
  <x:si>
    <x:t xml:space="preserve">Aussch. p.a. Best.</x:t>
  </x:si>
  <x:si>
    <x:t xml:space="preserve">Aussch. mtl. Best.</x:t>
  </x:si>
  <x:si>
    <x:t xml:space="preserve">Summe p.a.</x:t>
  </x:si>
  <x:si>
    <x:t xml:space="preserve">(A)</x:t>
  </x:si>
  <x:si>
    <x:t xml:space="preserve">Allianz European Equity Dividend-AktienzinsA2</x:t>
  </x:si>
  <x:si>
    <x:t xml:space="preserve">A12BH6</x:t>
  </x:si>
  <x:si>
    <x:t xml:space="preserve">Aktien - Europa - jährlich ausschüttend</x:t>
  </x:si>
  <x:si>
    <x:t xml:space="preserve">(B)</x:t>
  </x:si>
  <x:si>
    <x:t xml:space="preserve">DWS Invest Global Infrastructure LD</x:t>
  </x:si>
  <x:si>
    <x:t xml:space="preserve">DWS0TN</x:t>
  </x:si>
  <x:si>
    <x:t xml:space="preserve">Aktien - Welt - jährlich ausschüttend</x:t>
  </x:si>
  <x:si>
    <x:t xml:space="preserve">(C)</x:t>
  </x:si>
  <x:si>
    <x:t xml:space="preserve">DWS Top Dividende LD</x:t>
  </x:si>
  <x:si>
    <x:t xml:space="preserve">(D)</x:t>
  </x:si>
  <x:si>
    <x:t xml:space="preserve">Allianz European Equity Dividend - AM EUR</x:t>
  </x:si>
  <x:si>
    <x:t xml:space="preserve">A1W483</x:t>
  </x:si>
  <x:si>
    <x:t xml:space="preserve">Aktien - Europa -mtl. ausschüttend</x:t>
  </x:si>
  <x:si>
    <x:t xml:space="preserve">(E)</x:t>
  </x:si>
  <x:si>
    <x:t xml:space="preserve">DWS Top Dividend - LDM EUR</x:t>
  </x:si>
  <x:si>
    <x:t xml:space="preserve">DWS3JK</x:t>
  </x:si>
  <x:si>
    <x:t xml:space="preserve">Aktien - Welt - mtl. ausschüttend</x:t>
  </x:si>
  <x:si>
    <x:t xml:space="preserve">(F)</x:t>
  </x:si>
  <x:si>
    <x:t xml:space="preserve">DWS InvestEuro High Yield Corporates LDM</x:t>
  </x:si>
  <x:si>
    <x:t xml:space="preserve">DWS3L8</x:t>
  </x:si>
  <x:si>
    <x:t xml:space="preserve">Unternehmensanleihen - mtl. ausschüttend</x:t>
  </x:si>
  <x:si>
    <x:t xml:space="preserve">(G)</x:t>
  </x:si>
  <x:si>
    <x:t xml:space="preserve">AGIF - Allianz Income and Growth - AM - EUR</x:t>
  </x:si>
  <x:si>
    <x:t xml:space="preserve">A408UY</x:t>
  </x:si>
  <x:si>
    <x:t xml:space="preserve">Aktien &amp; Anleihen - Welt - mtl. ausschüttend</x:t>
  </x:si>
  <x:si>
    <x:t xml:space="preserve">(H)</x:t>
  </x:si>
  <x:si>
    <x:t xml:space="preserve">DWS Invest Global Infrastructure LDM EUR</x:t>
  </x:si>
  <x:si>
    <x:t xml:space="preserve">DWS3JL</x:t>
  </x:si>
  <x:si>
    <x:t xml:space="preserve">(I)</x:t>
  </x:si>
  <x:si>
    <x:t xml:space="preserve">DWS Qi Eurozone Equity RC Fonds </x:t>
  </x:si>
  <x:si>
    <x:t xml:space="preserve">Aktien - Europa</x:t>
  </x:si>
  <x:si>
    <x:t xml:space="preserve">(J)</x:t>
  </x:si>
  <x:si>
    <x:t xml:space="preserve">DWS Global Growth LD</x:t>
  </x:si>
  <x:si>
    <x:t xml:space="preserve">Aktien (Wachstum) - Welt</x:t>
  </x:si>
  <x:si>
    <x:t xml:space="preserve">(K)</x:t>
  </x:si>
  <x:si>
    <x:t xml:space="preserve">DWS Global Value LD</x:t>
  </x:si>
  <x:si>
    <x:t xml:space="preserve">Aktien (Standardwerte) - Welt</x:t>
  </x:si>
  <x:si>
    <x:t xml:space="preserve">(L)</x:t>
  </x:si>
  <x:si>
    <x:t xml:space="preserve">Allianz Global Artificial Intelligence - A - EUR</x:t>
  </x:si>
  <x:si>
    <x:t xml:space="preserve">A2DKAR</x:t>
  </x:si>
  <x:si>
    <x:t xml:space="preserve">Aktien (KI-Branche) - Welt</x:t>
  </x:si>
  <x:si>
    <x:t xml:space="preserve">(M)</x:t>
  </x:si>
  <x:si>
    <x:t xml:space="preserve">AGIF - Allianz Oriental Income - A - EUR</x:t>
  </x:si>
  <x:si>
    <x:t xml:space="preserve">A2JBTT</x:t>
  </x:si>
  <x:si>
    <x:t xml:space="preserve">Aktien - Asien/Pazifik</x:t>
  </x:si>
  <x:si>
    <x:t xml:space="preserve">(N)</x:t>
  </x:si>
  <x:si>
    <x:t xml:space="preserve">DWS Euro Flexizins NC</x:t>
  </x:si>
  <x:si>
    <x:t xml:space="preserve">(O)</x:t>
  </x:si>
  <x:si>
    <x:t xml:space="preserve">DWS ESG Zinseinkommen</x:t>
  </x:si>
  <x:si>
    <x:t xml:space="preserve">DWS037</x:t>
  </x:si>
  <x:si>
    <x:t xml:space="preserve">(P)</x:t>
  </x:si>
  <x:si>
    <x:t xml:space="preserve">DWS Concept Kaldemorgen LD</x:t>
  </x:si>
  <x:si>
    <x:t xml:space="preserve">DWSK01</x:t>
  </x:si>
  <x:si>
    <x:t xml:space="preserve">Mischfonds (Multi-Asset)</x:t>
  </x:si>
  <x:si>
    <x:t xml:space="preserve">(Q)</x:t>
  </x:si>
  <x:si>
    <x:t xml:space="preserve">Geiger Gold Kauf / Geiger Silber Kauf</x:t>
  </x:si>
  <x:si>
    <x:t xml:space="preserve">Münzen / Barren</x:t>
  </x:si>
  <x:si>
    <x:t xml:space="preserve">(R)</x:t>
  </x:si>
  <x:si>
    <x:t xml:space="preserve">Geiger GoldRente</x:t>
  </x:si>
  <x:si>
    <x:t xml:space="preserve">Barren - mtl. Verkauf von Gold in g</x:t>
  </x:si>
  <x:si>
    <x:t xml:space="preserve">(S) </x:t>
  </x:si>
  <x:si>
    <x:t xml:space="preserve">Vermögens- und Einkommensplan (VEP)</x:t>
  </x:si>
  <x:si>
    <x:t xml:space="preserve">Generali Infrastruktur -  nicht börsennotiert</x:t>
  </x:si>
  <x:si>
    <x:t xml:space="preserve">(T)</x:t>
  </x:si>
  <x:si>
    <x:t xml:space="preserve">Sonstige Fonds im Bestand</x:t>
  </x:si>
  <x:si>
    <x:t xml:space="preserve">diverse</x:t>
  </x:si>
  <x:si>
    <x:t xml:space="preserve">(U)</x:t>
  </x:si>
  <x:si>
    <x:t xml:space="preserve">Neuanlage</x:t>
  </x:si>
  <x:si>
    <x:t xml:space="preserve">jährlich</x:t>
  </x:si>
  <x:si>
    <x:t xml:space="preserve">monatlich</x:t>
  </x:si>
  <x:si>
    <x:t xml:space="preserve">gesamt jährlich</x:t>
  </x:si>
  <x:si>
    <x:t xml:space="preserve">Namen eintragen bitte nur in Tabelle Gesamtanlage</x:t>
  </x:si>
  <x:si>
    <x:t xml:space="preserve">Bestand eintragen</x:t>
  </x:si>
  <x:si>
    <x:t xml:space="preserve">Eingabe Empfehlung Bestand(N69)</x:t>
  </x:si>
  <x:si>
    <x:t xml:space="preserve">Eingabe Neuanlage (P71)</x:t>
  </x:si>
  <x:si>
    <x:t xml:space="preserve">Erfassung Zielbeträge</x:t>
  </x:si>
  <x:si>
    <x:t xml:space="preserve">Empfehlungen eintragen</x:t>
  </x:si>
  <x:si>
    <x:t xml:space="preserve">Sparpläne erfassen</x:t>
  </x:si>
  <x:si>
    <x:t xml:space="preserve">Goldrente erfassen</x:t>
  </x:si>
  <x:si>
    <x:t xml:space="preserve">Dividendenanlage 50%</x:t>
  </x:si>
  <x:si>
    <x:t xml:space="preserve">Wachstums- &amp; Sicherheitsanlage 30%</x:t>
  </x:si>
  <x:si>
    <x:t xml:space="preserve">Vermögens- &amp; </x:t>
  </x:si>
  <x:si>
    <x:t xml:space="preserve">Datum</x:t>
  </x:si>
  <x:si>
    <x:t xml:space="preserve">Wachstumsstrategie Bestand</x:t>
  </x:si>
  <x:si>
    <x:t xml:space="preserve">Fondsname</x:t>
  </x:si>
  <x:si>
    <x:t xml:space="preserve">Ausschüttung</x:t>
  </x:si>
  <x:si>
    <x:t xml:space="preserve">Termin</x:t>
  </x:si>
  <x:si>
    <x:t xml:space="preserve">akt. Preis</x:t>
  </x:si>
  <x:si>
    <x:t xml:space="preserve">Kaufbetrag</x:t>
  </x:si>
  <x:si>
    <x:t xml:space="preserve">Jan</x:t>
  </x:si>
  <x:si>
    <x:t xml:space="preserve">Feb</x:t>
  </x:si>
  <x:si>
    <x:t xml:space="preserve">Mär</x:t>
  </x:si>
  <x:si>
    <x:t xml:space="preserve">Apr</x:t>
  </x:si>
  <x:si>
    <x:t xml:space="preserve">Mai</x:t>
  </x:si>
  <x:si>
    <x:t xml:space="preserve">Jun</x:t>
  </x:si>
  <x:si>
    <x:t xml:space="preserve">Jul</x:t>
  </x:si>
  <x:si>
    <x:t xml:space="preserve">Aug</x:t>
  </x:si>
  <x:si>
    <x:t xml:space="preserve">Sep</x:t>
  </x:si>
  <x:si>
    <x:t xml:space="preserve">Okt</x:t>
  </x:si>
  <x:si>
    <x:t xml:space="preserve">Nov</x:t>
  </x:si>
  <x:si>
    <x:t xml:space="preserve">Dez</x:t>
  </x:si>
  <x:si>
    <x:t xml:space="preserve">steuerpflichtiger Anteil</x:t>
  </x:si>
  <x:si>
    <x:t xml:space="preserve">KAP</x:t>
  </x:si>
  <x:si>
    <x:t xml:space="preserve">p.a.</x:t>
  </x:si>
  <x:si>
    <x:t xml:space="preserve">mtl.</x:t>
  </x:si>
  <x:si>
    <x:t xml:space="preserve">Betrag</x:t>
  </x:si>
  <x:si>
    <x:t xml:space="preserve">nach Teilfreistellung</x:t>
  </x:si>
  <x:si>
    <x:t xml:space="preserve">Steuer</x:t>
  </x:si>
  <x:si>
    <x:t xml:space="preserve">Auszahlbetrag</x:t>
  </x:si>
  <x:si>
    <x:t xml:space="preserve">AGIF-Allianz Europ. Eq. Div. Aktienzins A2</x:t>
  </x:si>
  <x:si>
    <x:t xml:space="preserve">15.12.</x:t>
  </x:si>
  <x:si>
    <x:t xml:space="preserve">DWS Invest Gl. Infr. LD</x:t>
  </x:si>
  <x:si>
    <x:t xml:space="preserve">04.03..</x:t>
  </x:si>
  <x:si>
    <x:t xml:space="preserve">25.11.</x:t>
  </x:si>
  <x:si>
    <x:t xml:space="preserve">AGIF-Allianz Europ.Eq.Div. AM</x:t>
  </x:si>
  <x:si>
    <x:t xml:space="preserve">15.</x:t>
  </x:si>
  <x:si>
    <x:t xml:space="preserve">DWS Invest Top Dividende LDM EUR</x:t>
  </x:si>
  <x:si>
    <x:t xml:space="preserve">18.</x:t>
  </x:si>
  <x:si>
    <x:t xml:space="preserve">Allianz Income&amp;Growth AM EUR</x:t>
  </x:si>
  <x:si>
    <x:t xml:space="preserve">DWS Invest Gl. Infr. LDM EUR.</x:t>
  </x:si>
  <x:si>
    <x:t xml:space="preserve">17.</x:t>
  </x:si>
  <x:si>
    <x:t xml:space="preserve">Ausschüttung Betrag eintragen</x:t>
  </x:si>
  <x:si>
    <x:t xml:space="preserve">aktuellen Rücknahmepreis eintragen</x:t>
  </x:si>
  <x:si>
    <x:t xml:space="preserve">Link für Kursabfrage:</x:t>
  </x:si>
  <x:si>
    <x:t xml:space="preserve">https://www.onvista.de</x:t>
  </x:si>
  <x:si>
    <x:t xml:space="preserve">Unter Suche WKN Nummer  eingeben und dann Rücknahmepreis und Höhe der letzten Ausschüttung heraussuchen</x:t>
  </x:si>
  <x:si>
    <x:t xml:space="preserve">Dividendenstrategie Bestand</x:t>
  </x:si>
  <x:si>
    <x:t xml:space="preserve">Wachstumstrategie Neu</x:t>
  </x:si>
  <x:si>
    <x:t xml:space="preserve">4.3.</x:t>
  </x:si>
  <x:si>
    <x:t xml:space="preserve">Dividendenstrategie Neu</x:t>
  </x:si>
</x:sst>
</file>

<file path=xl/styles.xml><?xml version="1.0" encoding="utf-8"?>
<x:styleSheet xmlns:x="http://schemas.openxmlformats.org/spreadsheetml/2006/main">
  <x:numFmts count="9">
    <x:numFmt numFmtId="8" formatCode="#,##0.00\ &quot;€&quot;;[Red]\-#,##0.00\ &quot;€&quot;"/>
    <x:numFmt numFmtId="164" formatCode="#,##0\ &quot;€&quot;"/>
    <x:numFmt numFmtId="165" formatCode="#,##0.00\ &quot;€&quot;"/>
    <x:numFmt numFmtId="166" formatCode="#,##0.0000\ &quot;€&quot;"/>
    <x:numFmt numFmtId="167" formatCode="#,##0.0000"/>
    <x:numFmt numFmtId="168" formatCode="#,##0.000\ _€"/>
    <x:numFmt numFmtId="169" formatCode="0.000"/>
    <x:numFmt numFmtId="170" formatCode="#,##0.0000\ _€"/>
    <x:numFmt numFmtId="200" formatCode="dd.mm.yyyy hh:mm"/>
  </x:numFmts>
  <x:fonts count="24">
    <x:font>
      <x:sz val="11"/>
      <x:color theme="1"/>
      <x:name val="Aptos Narrow"/>
    </x:font>
    <x:font>
      <x:b/>
      <x:sz val="11"/>
      <x:color theme="1"/>
      <x:name val="Aptos Narrow"/>
    </x:font>
    <x:font>
      <x:sz val="18"/>
      <x:color theme="0"/>
      <x:name val="Aptos Narrow"/>
    </x:font>
    <x:font>
      <x:b/>
      <x:sz val="13"/>
      <x:color theme="1"/>
      <x:name val="Aptos Display"/>
    </x:font>
    <x:font>
      <x:b/>
      <x:sz val="16"/>
      <x:color theme="1"/>
      <x:name val="Aptos Display"/>
    </x:font>
    <x:font>
      <x:sz val="12"/>
      <x:color theme="1"/>
      <x:name val="Aptos Narrow"/>
    </x:font>
    <x:font>
      <x:b/>
      <x:sz val="12"/>
      <x:color theme="0"/>
      <x:name val="Aptos Display"/>
    </x:font>
    <x:font>
      <x:b/>
      <x:sz val="12"/>
      <x:color theme="1"/>
      <x:name val="Aptos Narrow"/>
    </x:font>
    <x:font>
      <x:b/>
      <x:sz val="11"/>
      <x:color theme="1"/>
      <x:name val="Aptos Display"/>
    </x:font>
    <x:font>
      <x:b/>
      <x:sz val="11"/>
      <x:color rgb="FFFF0000"/>
      <x:name val="Aptos Narrow"/>
    </x:font>
    <x:font>
      <x:sz val="11"/>
      <x:name val="Aptos Narrow"/>
    </x:font>
    <x:font>
      <x:b/>
      <x:sz val="16"/>
      <x:color theme="1"/>
      <x:name val="Aptos Narrow"/>
    </x:font>
    <x:font>
      <x:sz val="22"/>
      <x:color theme="1"/>
      <x:name val="Aptos Narrow"/>
    </x:font>
    <x:font>
      <x:sz val="20"/>
      <x:color theme="1"/>
      <x:name val="Aptos Narrow"/>
    </x:font>
    <x:font>
      <x:sz val="11"/>
      <x:color theme="10"/>
      <x:name val="Aptos Narrow"/>
    </x:font>
    <x:font>
      <x:sz val="14"/>
      <x:color theme="1"/>
      <x:name val="Aptos Narrow"/>
    </x:font>
    <x:font>
      <x:sz val="14"/>
      <x:color theme="10"/>
      <x:name val="Aptos Narrow"/>
    </x:font>
    <x:font>
      <x:b/>
      <x:sz val="16"/>
      <x:color theme="0"/>
      <x:name val="Aptos Display"/>
    </x:font>
    <x:font>
      <x:b/>
      <x:sz val="12"/>
      <x:color theme="1"/>
      <x:name val="Aptos Display"/>
    </x:font>
    <x:font>
      <x:sz val="16"/>
      <x:color theme="1"/>
      <x:name val="Aptos Narrow"/>
    </x:font>
    <x:font>
      <x:sz val="22"/>
      <x:color theme="1"/>
      <x:name val="Aptos Display"/>
    </x:font>
    <x:font>
      <x:sz val="8"/>
      <x:name val="Aptos Narrow"/>
    </x:font>
    <x:font>
      <x:b/>
      <x:sz val="11"/>
      <x:color rgb="FFFFFFFF"/>
      <x:name val="Aptos Narrow"/>
    </x:font>
    <x:font>
      <x:sz val="11"/>
      <x:color rgb="FF008000"/>
      <x:name val="Aptos Narrow"/>
    </x:font>
  </x:fonts>
  <x:fills count="21">
    <x:fill>
      <x:patternFill patternType="none"/>
    </x:fill>
    <x:fill>
      <x:patternFill patternType="gray125"/>
    </x:fill>
    <x:fill>
      <x:patternFill patternType="solid">
        <x:fgColor rgb="FFCCA432"/>
      </x:patternFill>
    </x:fill>
    <x:fill>
      <x:patternFill patternType="solid">
        <x:fgColor theme="3" tint="0.89999"/>
      </x:patternFill>
    </x:fill>
    <x:fill>
      <x:patternFill patternType="solid">
        <x:fgColor theme="6" tint="0.79998"/>
      </x:patternFill>
    </x:fill>
    <x:fill>
      <x:patternFill patternType="solid">
        <x:fgColor rgb="FFFFCC66"/>
      </x:patternFill>
    </x:fill>
    <x:fill>
      <x:patternFill patternType="solid">
        <x:fgColor rgb="FFFFC000"/>
      </x:patternFill>
    </x:fill>
    <x:fill>
      <x:patternFill patternType="solid">
        <x:fgColor theme="2" tint="-0.09998"/>
      </x:patternFill>
    </x:fill>
    <x:fill>
      <x:patternFill patternType="solid">
        <x:fgColor theme="6" tint="0.59999"/>
      </x:patternFill>
    </x:fill>
    <x:fill>
      <x:patternFill patternType="solid">
        <x:fgColor theme="3" tint="0.74999"/>
      </x:patternFill>
    </x:fill>
    <x:fill>
      <x:patternFill patternType="solid">
        <x:fgColor theme="5" tint="0.39998"/>
      </x:patternFill>
    </x:fill>
    <x:fill>
      <x:patternFill patternType="solid">
        <x:fgColor theme="8" tint="0.79998"/>
      </x:patternFill>
    </x:fill>
    <x:fill>
      <x:patternFill patternType="solid">
        <x:fgColor theme="2"/>
      </x:patternFill>
    </x:fill>
    <x:fill>
      <x:patternFill patternType="solid">
        <x:fgColor rgb="FFFFFF00"/>
      </x:patternFill>
    </x:fill>
    <x:fill>
      <x:patternFill patternType="solid">
        <x:fgColor theme="9"/>
      </x:patternFill>
    </x:fill>
    <x:fill>
      <x:patternFill patternType="solid">
        <x:fgColor rgb="FFFF9966"/>
      </x:patternFill>
    </x:fill>
    <x:fill>
      <x:patternFill patternType="solid">
        <x:fgColor theme="9" tint="0.59999"/>
      </x:patternFill>
    </x:fill>
    <x:fill>
      <x:patternFill patternType="solid">
        <x:fgColor theme="9" tint="0.79998"/>
      </x:patternFill>
    </x:fill>
    <x:fill>
      <x:patternFill patternType="solid">
        <x:fgColor theme="5" tint="0.79998"/>
      </x:patternFill>
    </x:fill>
    <x:fill>
      <x:patternFill patternType="solid">
        <x:fgColor theme="5" tint="0.59999"/>
      </x:patternFill>
    </x:fill>
    <x:fill>
      <x:patternFill patternType="solid">
        <x:fgColor rgb="FF1F4E78"/>
      </x:patternFill>
    </x:fill>
  </x:fills>
  <x:borders count="58">
    <x:border/>
    <x:border>
      <x:left style="medium">
        <x:color indexed="64"/>
      </x:left>
      <x:top style="medium">
        <x:color indexed="64"/>
      </x:top>
      <x:bottom style="medium">
        <x:color indexed="64"/>
      </x:bottom>
    </x:border>
    <x:border>
      <x:top style="medium">
        <x:color indexed="64"/>
      </x:top>
      <x:bottom style="medium">
        <x:color indexed="64"/>
      </x:bottom>
    </x:border>
    <x:border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medium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bottom style="medium">
        <x:color indexed="64"/>
      </x:bottom>
    </x:border>
    <x:border>
      <x:right style="medium">
        <x:color indexed="64"/>
      </x:right>
      <x:bottom style="medium">
        <x:color indexed="64"/>
      </x:bottom>
    </x:border>
    <x:border>
      <x:left style="medium">
        <x:color indexed="64"/>
      </x:left>
      <x:top style="medium">
        <x:color indexed="64"/>
      </x:top>
    </x:border>
    <x:border>
      <x:right style="medium">
        <x:color indexed="64"/>
      </x:right>
      <x:top style="medium">
        <x:color indexed="64"/>
      </x:top>
    </x:border>
    <x:border>
      <x:left style="thin">
        <x:color indexed="64"/>
      </x:left>
      <x:top style="thin">
        <x:color indexed="64"/>
      </x:top>
      <x:bottom style="thin">
        <x:color indexed="64"/>
      </x:bottom>
    </x:border>
    <x:border>
      <x:right style="thin">
        <x:color indexed="64"/>
      </x:right>
      <x:top style="thin">
        <x:color indexed="64"/>
      </x:top>
      <x:bottom style="thin">
        <x:color indexed="64"/>
      </x:bottom>
    </x:border>
    <x:border>
      <x:right style="medium">
        <x:color indexed="64"/>
      </x:right>
    </x:border>
    <x:border>
      <x:left style="thin">
        <x:color indexed="64"/>
      </x:left>
      <x:top style="medium">
        <x:color indexed="64"/>
      </x:top>
      <x:bottom style="thin">
        <x:color indexed="64"/>
      </x:bottom>
    </x:border>
    <x:border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top style="thin">
        <x:color indexed="64"/>
      </x:top>
      <x:bottom style="medium">
        <x:color indexed="64"/>
      </x:bottom>
    </x:border>
    <x:border>
      <x:top style="thin">
        <x:color indexed="64"/>
      </x:top>
      <x:bottom style="medium">
        <x:color indexed="64"/>
      </x:bottom>
    </x:border>
    <x:border>
      <x:right style="thin">
        <x:color indexed="64"/>
      </x:right>
      <x:top style="thin">
        <x:color indexed="64"/>
      </x:top>
      <x:bottom style="medium">
        <x:color indexed="64"/>
      </x:bottom>
    </x:border>
    <x:border>
      <x:bottom style="medium">
        <x:color indexed="64"/>
      </x:bottom>
    </x:border>
    <x:border>
      <x:left style="medium">
        <x:color indexed="64"/>
      </x:left>
      <x:top style="thin">
        <x:color indexed="64"/>
      </x:top>
      <x:bottom style="medium">
        <x:color indexed="64"/>
      </x:bottom>
    </x:border>
    <x:border>
      <x:right style="medium">
        <x:color indexed="64"/>
      </x:right>
      <x:top style="medium">
        <x:color indexed="64"/>
      </x:top>
      <x:bottom style="thin">
        <x:color indexed="64"/>
      </x:bottom>
    </x:border>
    <x:border>
      <x:right style="medium">
        <x:color indexed="64"/>
      </x:right>
      <x:top style="thin">
        <x:color indexed="64"/>
      </x:top>
      <x:bottom style="thin">
        <x:color indexed="64"/>
      </x:bottom>
    </x:border>
    <x:border>
      <x:right style="medium">
        <x:color indexed="64"/>
      </x:right>
      <x:top style="thin">
        <x:color indexed="64"/>
      </x:top>
      <x:bottom style="medium">
        <x:color indexed="64"/>
      </x:bottom>
    </x:border>
    <x:border>
      <x:top style="medium">
        <x:color indexed="64"/>
      </x:top>
    </x:border>
    <x:border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top style="medium">
        <x:color indexed="64"/>
      </x:top>
      <x:bottom style="thin">
        <x:color indexed="64"/>
      </x:bottom>
    </x:border>
    <x:border>
      <x:left style="medium">
        <x:color indexed="64"/>
      </x:left>
      <x:top style="thin">
        <x:color indexed="64"/>
      </x:top>
      <x:bottom style="thin">
        <x:color indexed="64"/>
      </x:bottom>
    </x:border>
    <x:border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medium">
        <x:color indexed="64"/>
      </x:right>
    </x:border>
    <x:border>
      <x:left style="thin">
        <x:color indexed="64"/>
      </x:left>
      <x:top style="medium">
        <x:color indexed="64"/>
      </x:top>
      <x:bottom style="medium">
        <x:color indexed="64"/>
      </x:bottom>
    </x:border>
    <x:border>
      <x:right style="thin">
        <x:color indexed="64"/>
      </x:right>
      <x:top style="medium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</x:border>
    <x:border>
      <x:left style="medium">
        <x:color indexed="64"/>
      </x:left>
      <x:right style="medium">
        <x:color indexed="64"/>
      </x:right>
      <x:bottom style="medium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</x:border>
    <x:border>
      <x:left style="thin">
        <x:color indexed="64"/>
      </x:left>
      <x:right style="thin">
        <x:color indexed="64"/>
      </x:right>
      <x:bottom style="thin">
        <x:color indexed="64"/>
      </x:bottom>
    </x:border>
    <x:border>
      <x:left style="thin">
        <x:color indexed="64"/>
      </x:left>
      <x:bottom style="thin">
        <x:color indexed="64"/>
      </x:bottom>
    </x:border>
    <x:border>
      <x:bottom style="thin">
        <x:color indexed="64"/>
      </x:bottom>
    </x:border>
    <x:border>
      <x:right style="thin">
        <x:color indexed="64"/>
      </x:right>
      <x:bottom style="thin">
        <x:color indexed="64"/>
      </x:bottom>
    </x:border>
    <x:border>
      <x:left style="thin">
        <x:color rgb="FF9EADBA"/>
      </x:left>
      <x:top style="thin">
        <x:color rgb="FF9EADBA"/>
      </x:top>
    </x:border>
    <x:border>
      <x:top style="thin">
        <x:color rgb="FF9EADBA"/>
      </x:top>
    </x:border>
    <x:border>
      <x:right style="thin">
        <x:color rgb="FF9EADBA"/>
      </x:right>
      <x:top style="thin">
        <x:color rgb="FF9EADBA"/>
      </x:top>
    </x:border>
    <x:border>
      <x:left style="thin">
        <x:color rgb="FF9EADBA"/>
      </x:left>
    </x:border>
    <x:border>
      <x:right style="thin">
        <x:color rgb="FF9EADBA"/>
      </x:right>
    </x:border>
    <x:border>
      <x:left style="thin">
        <x:color rgb="FF9EADBA"/>
      </x:left>
      <x:bottom style="thin">
        <x:color rgb="FF9EADBA"/>
      </x:bottom>
    </x:border>
    <x:border>
      <x:bottom style="thin">
        <x:color rgb="FF9EADBA"/>
      </x:bottom>
    </x:border>
    <x:border>
      <x:right style="thin">
        <x:color rgb="FF9EADBA"/>
      </x:right>
      <x:bottom style="thin">
        <x:color rgb="FF9EADBA"/>
      </x:bottom>
    </x:border>
  </x:borders>
  <x:cellStyleXfs count="2">
    <x:xf numFmtId="0" fontId="0" fillId="0" borderId="0"/>
    <x:xf numFmtId="0" fontId="14" fillId="0" borderId="0" applyNumberFormat="0" applyFill="0" applyBorder="0" applyAlignment="0" applyProtection="0"/>
  </x:cellStyleXfs>
  <x:cellXfs count="553">
    <x:xf numFmtId="0" fontId="0" fillId="0" borderId="0" xfId="0"/>
    <x:xf numFmtId="164" fontId="4" fillId="0" borderId="0" xfId="0" applyNumberFormat="1" applyFont="1" applyAlignment="1">
      <x:alignment horizontal="center" vertical="center"/>
    </x:xf>
    <x:xf numFmtId="0" fontId="5" fillId="0" borderId="0" xfId="0" applyFont="1"/>
    <x:xf numFmtId="0" fontId="0" fillId="0" borderId="0" xfId="0" applyAlignment="1">
      <x:alignment horizontal="center"/>
    </x:xf>
    <x:xf numFmtId="0" fontId="0" fillId="0" borderId="5" xfId="0" applyBorder="1" applyAlignment="1">
      <x:alignment horizontal="center"/>
    </x:xf>
    <x:xf numFmtId="0" fontId="1" fillId="0" borderId="0" xfId="0" applyFont="1"/>
    <x:xf numFmtId="0" fontId="0" fillId="0" borderId="4" xfId="0" applyBorder="1" applyAlignment="1">
      <x:alignment horizontal="center"/>
    </x:xf>
    <x:xf numFmtId="0" fontId="0" fillId="0" borderId="25" xfId="0" applyBorder="1" applyAlignment="1">
      <x:alignment horizontal="center"/>
    </x:xf>
    <x:xf numFmtId="0" fontId="1" fillId="0" borderId="0" xfId="0" applyFont="1" applyAlignment="1">
      <x:alignment horizontal="center"/>
    </x:xf>
    <x:xf numFmtId="165" fontId="0" fillId="0" borderId="5" xfId="0" applyNumberFormat="1" applyBorder="1"/>
    <x:xf numFmtId="0" fontId="7" fillId="0" borderId="0" xfId="0" applyFont="1" applyAlignment="1">
      <x:alignment horizontal="center"/>
    </x:xf>
    <x:xf numFmtId="0" fontId="0" fillId="3" borderId="7" xfId="0" applyFill="1" applyBorder="1" applyAlignment="1">
      <x:alignment horizontal="center"/>
    </x:xf>
    <x:xf numFmtId="0" fontId="0" fillId="3" borderId="22" xfId="0" applyFill="1" applyBorder="1" applyAlignment="1">
      <x:alignment horizontal="center"/>
    </x:xf>
    <x:xf numFmtId="0" fontId="0" fillId="4" borderId="7" xfId="0" applyFill="1" applyBorder="1" applyAlignment="1">
      <x:alignment horizontal="center"/>
    </x:xf>
    <x:xf numFmtId="0" fontId="0" fillId="4" borderId="22" xfId="0" applyFill="1" applyBorder="1" applyAlignment="1">
      <x:alignment horizontal="center"/>
    </x:xf>
    <x:xf numFmtId="0" fontId="0" fillId="4" borderId="9" xfId="0" applyFill="1" applyBorder="1" applyAlignment="1">
      <x:alignment horizontal="center"/>
    </x:xf>
    <x:xf numFmtId="0" fontId="0" fillId="6" borderId="7" xfId="0" applyFill="1" applyBorder="1" applyAlignment="1">
      <x:alignment horizontal="center"/>
    </x:xf>
    <x:xf numFmtId="0" fontId="0" fillId="6" borderId="9" xfId="0" applyFill="1" applyBorder="1" applyAlignment="1">
      <x:alignment horizontal="center"/>
    </x:xf>
    <x:xf numFmtId="0" fontId="0" fillId="0" borderId="8" xfId="0" applyBorder="1" applyAlignment="1">
      <x:alignment horizontal="center"/>
    </x:xf>
    <x:xf numFmtId="0" fontId="0" fillId="0" borderId="10" xfId="0" applyBorder="1" applyAlignment="1">
      <x:alignment horizontal="center"/>
    </x:xf>
    <x:xf numFmtId="0" fontId="0" fillId="0" borderId="0" xfId="0" applyAlignment="1">
      <x:alignment horizontal="left"/>
    </x:xf>
    <x:xf numFmtId="0" fontId="0" fillId="3" borderId="27" xfId="0" applyFill="1" applyBorder="1" applyAlignment="1">
      <x:alignment horizontal="center"/>
    </x:xf>
    <x:xf numFmtId="8" fontId="0" fillId="0" borderId="0" xfId="0" applyNumberFormat="1"/>
    <x:xf numFmtId="2" fontId="0" fillId="0" borderId="0" xfId="0" applyNumberFormat="1"/>
    <x:xf numFmtId="0" fontId="0" fillId="0" borderId="26" xfId="0" applyBorder="1"/>
    <x:xf numFmtId="166" fontId="0" fillId="0" borderId="0" xfId="0" applyNumberFormat="1"/>
    <x:xf numFmtId="0" fontId="0" fillId="8" borderId="7" xfId="0" applyFill="1" applyBorder="1" applyAlignment="1">
      <x:alignment horizontal="center"/>
    </x:xf>
    <x:xf numFmtId="0" fontId="0" fillId="8" borderId="22" xfId="0" applyFill="1" applyBorder="1" applyAlignment="1">
      <x:alignment horizontal="center"/>
    </x:xf>
    <x:xf numFmtId="0" fontId="0" fillId="8" borderId="9" xfId="0" applyFill="1" applyBorder="1" applyAlignment="1">
      <x:alignment horizontal="center"/>
    </x:xf>
    <x:xf numFmtId="0" fontId="0" fillId="9" borderId="7" xfId="0" applyFill="1" applyBorder="1" applyAlignment="1">
      <x:alignment horizontal="center"/>
    </x:xf>
    <x:xf numFmtId="0" fontId="0" fillId="9" borderId="22" xfId="0" applyFill="1" applyBorder="1" applyAlignment="1">
      <x:alignment horizontal="center"/>
    </x:xf>
    <x:xf numFmtId="0" fontId="0" fillId="9" borderId="9" xfId="0" applyFill="1" applyBorder="1" applyAlignment="1">
      <x:alignment horizontal="center"/>
    </x:xf>
    <x:xf numFmtId="164" fontId="8" fillId="0" borderId="0" xfId="0" applyNumberFormat="1" applyFont="1" applyAlignment="1">
      <x:alignment horizontal="center" vertical="center"/>
    </x:xf>
    <x:xf numFmtId="0" fontId="1" fillId="0" borderId="15" xfId="0" applyFont="1" applyBorder="1" applyAlignment="1">
      <x:alignment horizontal="center"/>
    </x:xf>
    <x:xf numFmtId="0" fontId="1" fillId="0" borderId="31" xfId="0" applyFont="1" applyBorder="1" applyAlignment="1">
      <x:alignment horizontal="center"/>
    </x:xf>
    <x:xf numFmtId="164" fontId="8" fillId="0" borderId="31" xfId="0" applyNumberFormat="1" applyFont="1" applyBorder="1" applyAlignment="1">
      <x:alignment horizontal="center" vertical="center"/>
    </x:xf>
    <x:xf numFmtId="0" fontId="0" fillId="0" borderId="16" xfId="0" applyBorder="1" applyAlignment="1">
      <x:alignment horizontal="center"/>
    </x:xf>
    <x:xf numFmtId="164" fontId="4" fillId="0" borderId="26" xfId="0" applyNumberFormat="1" applyFont="1" applyBorder="1" applyAlignment="1">
      <x:alignment horizontal="center" vertical="center"/>
    </x:xf>
    <x:xf numFmtId="0" fontId="6" fillId="0" borderId="0" xfId="0" applyFont="1" applyAlignment="1">
      <x:alignment horizontal="center"/>
    </x:xf>
    <x:xf numFmtId="0" fontId="9" fillId="0" borderId="39" xfId="0" applyFont="1" applyBorder="1" applyAlignment="1">
      <x:alignment horizontal="center" vertical="center"/>
    </x:xf>
    <x:xf numFmtId="0" fontId="9" fillId="0" borderId="0" xfId="0" applyFont="1" applyAlignment="1">
      <x:alignment horizontal="center"/>
    </x:xf>
    <x:xf numFmtId="0" fontId="9" fillId="0" borderId="0" xfId="0" applyFont="1" applyAlignment="1">
      <x:alignment horizontal="center" vertical="center"/>
    </x:xf>
    <x:xf numFmtId="0" fontId="0" fillId="0" borderId="42" xfId="0" applyBorder="1"/>
    <x:xf numFmtId="0" fontId="10" fillId="11" borderId="7" xfId="0" applyFont="1" applyFill="1" applyBorder="1" applyAlignment="1">
      <x:alignment horizontal="center"/>
    </x:xf>
    <x:xf numFmtId="0" fontId="0" fillId="11" borderId="9" xfId="0" applyFill="1" applyBorder="1" applyAlignment="1">
      <x:alignment horizontal="center"/>
    </x:xf>
    <x:xf numFmtId="0" fontId="1" fillId="0" borderId="2" xfId="0" applyFont="1" applyBorder="1" applyAlignment="1">
      <x:alignment horizontal="center"/>
    </x:xf>
    <x:xf numFmtId="0" fontId="0" fillId="3" borderId="8" xfId="0" applyFill="1" applyBorder="1"/>
    <x:xf numFmtId="0" fontId="0" fillId="3" borderId="5" xfId="0" applyFill="1" applyBorder="1"/>
    <x:xf numFmtId="0" fontId="0" fillId="9" borderId="5" xfId="0" applyFill="1" applyBorder="1"/>
    <x:xf numFmtId="0" fontId="0" fillId="9" borderId="10" xfId="0" applyFill="1" applyBorder="1"/>
    <x:xf numFmtId="0" fontId="0" fillId="12" borderId="0" xfId="0" applyFill="1"/>
    <x:xf numFmtId="14" fontId="3" fillId="0" borderId="0" xfId="0" applyNumberFormat="1" applyFont="1" applyAlignment="1">
      <x:alignment horizontal="center"/>
    </x:xf>
    <x:xf numFmtId="0" fontId="3" fillId="0" borderId="0" xfId="0" applyFont="1" applyAlignment="1">
      <x:alignment horizontal="center"/>
    </x:xf>
    <x:xf numFmtId="0" fontId="11" fillId="0" borderId="43" xfId="0" applyFont="1" applyBorder="1" applyAlignment="1">
      <x:alignment horizontal="center"/>
    </x:xf>
    <x:xf numFmtId="164" fontId="11" fillId="0" borderId="44" xfId="0" applyNumberFormat="1" applyFont="1" applyBorder="1" applyAlignment="1">
      <x:alignment horizontal="center"/>
    </x:xf>
    <x:xf numFmtId="0" fontId="0" fillId="10" borderId="11" xfId="0" applyFill="1" applyBorder="1" applyAlignment="1">
      <x:alignment horizontal="center"/>
    </x:xf>
    <x:xf numFmtId="0" fontId="7" fillId="0" borderId="0" xfId="0" applyFont="1" applyAlignment="1">
      <x:alignment vertical="center"/>
    </x:xf>
    <x:xf numFmtId="165" fontId="7" fillId="0" borderId="6" xfId="0" applyNumberFormat="1" applyFont="1" applyBorder="1" applyAlignment="1">
      <x:alignment horizontal="center" vertical="center"/>
    </x:xf>
    <x:xf numFmtId="0" fontId="7" fillId="0" borderId="6" xfId="0" applyFont="1" applyBorder="1" applyAlignment="1">
      <x:alignment horizontal="center" vertical="center"/>
    </x:xf>
    <x:xf numFmtId="0" fontId="7" fillId="0" borderId="0" xfId="0" applyFont="1" applyAlignment="1">
      <x:alignment horizontal="center" vertical="center"/>
    </x:xf>
    <x:xf numFmtId="165" fontId="7" fillId="13" borderId="6" xfId="0" applyNumberFormat="1" applyFont="1" applyFill="1" applyBorder="1" applyAlignment="1">
      <x:alignment horizontal="center" vertical="center"/>
    </x:xf>
    <x:xf numFmtId="0" fontId="0" fillId="0" borderId="0" xfId="0" applyAlignment="1">
      <x:alignment horizontal="center" vertical="center"/>
    </x:xf>
    <x:xf numFmtId="0" fontId="0" fillId="0" borderId="43" xfId="0" applyBorder="1" applyAlignment="1">
      <x:alignment horizontal="center" vertical="center"/>
    </x:xf>
    <x:xf numFmtId="0" fontId="0" fillId="0" borderId="44" xfId="0" applyBorder="1" applyAlignment="1">
      <x:alignment horizontal="center" vertical="center"/>
    </x:xf>
    <x:xf numFmtId="0" fontId="0" fillId="0" borderId="31" xfId="0" applyBorder="1" applyAlignment="1">
      <x:alignment horizontal="center" vertical="center"/>
    </x:xf>
    <x:xf numFmtId="0" fontId="0" fillId="0" borderId="5" xfId="0" applyBorder="1"/>
    <x:xf numFmtId="166" fontId="0" fillId="0" borderId="5" xfId="0" applyNumberFormat="1" applyBorder="1"/>
    <x:xf numFmtId="164" fontId="0" fillId="0" borderId="5" xfId="0" applyNumberFormat="1" applyBorder="1" applyAlignment="1">
      <x:alignment horizontal="center" vertical="center"/>
    </x:xf>
    <x:xf numFmtId="166" fontId="0" fillId="0" borderId="43" xfId="0" applyNumberFormat="1" applyBorder="1" applyAlignment="1">
      <x:alignment horizontal="center" vertical="center"/>
    </x:xf>
    <x:xf numFmtId="166" fontId="0" fillId="0" borderId="44" xfId="0" applyNumberFormat="1" applyBorder="1" applyAlignment="1">
      <x:alignment horizontal="center" vertical="center"/>
    </x:xf>
    <x:xf numFmtId="164" fontId="0" fillId="0" borderId="46" xfId="0" applyNumberFormat="1" applyBorder="1" applyAlignment="1">
      <x:alignment horizontal="center" vertical="center"/>
    </x:xf>
    <x:xf numFmtId="0" fontId="0" fillId="0" borderId="39" xfId="0" applyBorder="1" applyAlignment="1">
      <x:alignment horizontal="center" vertical="center"/>
    </x:xf>
    <x:xf numFmtId="0" fontId="0" fillId="0" borderId="15" xfId="0" applyBorder="1"/>
    <x:xf numFmtId="0" fontId="0" fillId="0" borderId="31" xfId="0" applyBorder="1"/>
    <x:xf numFmtId="166" fontId="0" fillId="0" borderId="31" xfId="0" applyNumberFormat="1" applyBorder="1"/>
    <x:xf numFmtId="0" fontId="0" fillId="0" borderId="31" xfId="0" applyBorder="1" applyAlignment="1">
      <x:alignment horizontal="center"/>
    </x:xf>
    <x:xf numFmtId="0" fontId="0" fillId="3" borderId="22" xfId="0" applyFill="1" applyBorder="1"/>
    <x:xf numFmtId="165" fontId="0" fillId="0" borderId="34" xfId="0" applyNumberFormat="1" applyBorder="1"/>
    <x:xf numFmtId="0" fontId="0" fillId="3" borderId="22" xfId="0" applyFill="1" applyBorder="1" applyAlignment="1">
      <x:alignment horizontal="left"/>
    </x:xf>
    <x:xf numFmtId="0" fontId="0" fillId="9" borderId="22" xfId="0" applyFill="1" applyBorder="1"/>
    <x:xf numFmtId="0" fontId="0" fillId="9" borderId="9" xfId="0" applyFill="1" applyBorder="1"/>
    <x:xf numFmtId="0" fontId="0" fillId="0" borderId="10" xfId="0" applyBorder="1"/>
    <x:xf numFmtId="164" fontId="0" fillId="0" borderId="10" xfId="0" applyNumberFormat="1" applyBorder="1" applyAlignment="1">
      <x:alignment horizontal="center" vertical="center"/>
    </x:xf>
    <x:xf numFmtId="165" fontId="0" fillId="0" borderId="10" xfId="0" applyNumberFormat="1" applyBorder="1"/>
    <x:xf numFmtId="165" fontId="0" fillId="0" borderId="35" xfId="0" applyNumberFormat="1" applyBorder="1"/>
    <x:xf numFmtId="0" fontId="0" fillId="3" borderId="7" xfId="0" applyFill="1" applyBorder="1"/>
    <x:xf numFmtId="0" fontId="0" fillId="0" borderId="8" xfId="0" applyBorder="1"/>
    <x:xf numFmtId="164" fontId="0" fillId="0" borderId="8" xfId="0" applyNumberFormat="1" applyBorder="1" applyAlignment="1">
      <x:alignment horizontal="center" vertical="center"/>
    </x:xf>
    <x:xf numFmtId="165" fontId="0" fillId="0" borderId="8" xfId="0" applyNumberFormat="1" applyBorder="1"/>
    <x:xf numFmtId="165" fontId="0" fillId="0" borderId="33" xfId="0" applyNumberFormat="1" applyBorder="1"/>
    <x:xf numFmtId="2" fontId="0" fillId="0" borderId="5" xfId="0" applyNumberFormat="1" applyBorder="1"/>
    <x:xf numFmtId="0" fontId="0" fillId="0" borderId="22" xfId="0" applyBorder="1"/>
    <x:xf numFmtId="166" fontId="0" fillId="0" borderId="10" xfId="0" applyNumberFormat="1" applyBorder="1"/>
    <x:xf numFmtId="166" fontId="0" fillId="12" borderId="43" xfId="0" applyNumberFormat="1" applyFill="1" applyBorder="1" applyAlignment="1">
      <x:alignment horizontal="center" vertical="center"/>
    </x:xf>
    <x:xf numFmtId="166" fontId="0" fillId="12" borderId="39" xfId="0" applyNumberFormat="1" applyFill="1" applyBorder="1" applyAlignment="1">
      <x:alignment horizontal="center" vertical="center"/>
    </x:xf>
    <x:xf numFmtId="0" fontId="0" fillId="0" borderId="20" xfId="0" applyBorder="1"/>
    <x:xf numFmtId="0" fontId="0" fillId="0" borderId="17" xfId="0" applyBorder="1"/>
    <x:xf numFmtId="0" fontId="0" fillId="0" borderId="23" xfId="0" applyBorder="1"/>
    <x:xf numFmtId="167" fontId="0" fillId="0" borderId="8" xfId="0" applyNumberFormat="1" applyBorder="1" applyAlignment="1">
      <x:alignment horizontal="center" vertical="center"/>
    </x:xf>
    <x:xf numFmtId="167" fontId="0" fillId="0" borderId="5" xfId="0" applyNumberFormat="1" applyBorder="1" applyAlignment="1">
      <x:alignment horizontal="center" vertical="center"/>
    </x:xf>
    <x:xf numFmtId="167" fontId="0" fillId="0" borderId="10" xfId="0" applyNumberFormat="1" applyBorder="1" applyAlignment="1">
      <x:alignment horizontal="center" vertical="center"/>
    </x:xf>
    <x:xf numFmtId="164" fontId="8" fillId="0" borderId="2" xfId="0" applyNumberFormat="1" applyFont="1" applyBorder="1" applyAlignment="1">
      <x:alignment horizontal="center" vertical="center"/>
    </x:xf>
    <x:xf numFmtId="0" fontId="13" fillId="0" borderId="0" xfId="0" applyFont="1"/>
    <x:xf numFmtId="166" fontId="0" fillId="0" borderId="39" xfId="0" applyNumberFormat="1" applyBorder="1" applyAlignment="1">
      <x:alignment horizontal="center" vertical="center"/>
    </x:xf>
    <x:xf numFmtId="0" fontId="12" fillId="0" borderId="0" xfId="0" applyFont="1" applyAlignment="1">
      <x:alignment horizontal="center"/>
    </x:xf>
    <x:xf numFmtId="14" fontId="12" fillId="0" borderId="0" xfId="0" applyNumberFormat="1" applyFont="1" applyAlignment="1">
      <x:alignment horizontal="center"/>
    </x:xf>
    <x:xf numFmtId="165" fontId="0" fillId="0" borderId="21" xfId="0" applyNumberFormat="1" applyBorder="1"/>
    <x:xf numFmtId="165" fontId="0" fillId="0" borderId="18" xfId="0" applyNumberFormat="1" applyBorder="1"/>
    <x:xf numFmtId="165" fontId="0" fillId="0" borderId="25" xfId="0" applyNumberFormat="1" applyBorder="1"/>
    <x:xf numFmtId="166" fontId="0" fillId="0" borderId="46" xfId="0" applyNumberFormat="1" applyBorder="1"/>
    <x:xf numFmtId="2" fontId="0" fillId="0" borderId="46" xfId="0" applyNumberFormat="1" applyBorder="1"/>
    <x:xf numFmtId="165" fontId="0" fillId="0" borderId="46" xfId="0" applyNumberFormat="1" applyBorder="1"/>
    <x:xf numFmtId="166" fontId="0" fillId="0" borderId="2" xfId="0" applyNumberFormat="1" applyBorder="1"/>
    <x:xf numFmtId="0" fontId="0" fillId="0" borderId="2" xfId="0" applyBorder="1"/>
    <x:xf numFmtId="0" fontId="0" fillId="0" borderId="2" xfId="0" applyBorder="1" applyAlignment="1">
      <x:alignment horizontal="center" vertical="center"/>
    </x:xf>
    <x:xf numFmtId="2" fontId="0" fillId="0" borderId="10" xfId="0" applyNumberFormat="1" applyBorder="1"/>
    <x:xf numFmtId="164" fontId="0" fillId="0" borderId="7" xfId="0" applyNumberFormat="1" applyBorder="1" applyAlignment="1">
      <x:alignment horizontal="center" vertical="center"/>
    </x:xf>
    <x:xf numFmtId="164" fontId="0" fillId="0" borderId="22" xfId="0" applyNumberFormat="1" applyBorder="1" applyAlignment="1">
      <x:alignment horizontal="center" vertical="center"/>
    </x:xf>
    <x:xf numFmtId="164" fontId="0" fillId="0" borderId="9" xfId="0" applyNumberFormat="1" applyBorder="1" applyAlignment="1">
      <x:alignment horizontal="center" vertical="center"/>
    </x:xf>
    <x:xf numFmtId="166" fontId="0" fillId="0" borderId="8" xfId="0" applyNumberFormat="1" applyBorder="1"/>
    <x:xf numFmtId="166" fontId="0" fillId="0" borderId="19" xfId="0" applyNumberFormat="1" applyBorder="1"/>
    <x:xf numFmtId="0" fontId="0" fillId="0" borderId="33" xfId="0" applyBorder="1"/>
    <x:xf numFmtId="0" fontId="0" fillId="0" borderId="34" xfId="0" applyBorder="1"/>
    <x:xf numFmtId="0" fontId="0" fillId="0" borderId="35" xfId="0" applyBorder="1"/>
    <x:xf numFmtId="166" fontId="0" fillId="12" borderId="28" xfId="0" applyNumberFormat="1" applyFill="1" applyBorder="1"/>
    <x:xf numFmtId="166" fontId="0" fillId="12" borderId="29" xfId="0" applyNumberFormat="1" applyFill="1" applyBorder="1"/>
    <x:xf numFmtId="166" fontId="0" fillId="12" borderId="30" xfId="0" applyNumberFormat="1" applyFill="1" applyBorder="1"/>
    <x:xf numFmtId="0" fontId="15" fillId="0" borderId="0" xfId="0" applyFont="1"/>
    <x:xf numFmtId="166" fontId="15" fillId="0" borderId="0" xfId="0" applyNumberFormat="1" applyFont="1"/>
    <x:xf numFmtId="0" fontId="15" fillId="0" borderId="0" xfId="0" applyFont="1" applyAlignment="1">
      <x:alignment horizontal="center" vertical="center"/>
    </x:xf>
    <x:xf numFmtId="164" fontId="4" fillId="0" borderId="19" xfId="0" applyNumberFormat="1" applyFont="1" applyBorder="1" applyAlignment="1">
      <x:alignment horizontal="center" vertical="center"/>
    </x:xf>
    <x:xf numFmtId="0" fontId="5" fillId="0" borderId="0" xfId="0" applyFont="1" applyAlignment="1">
      <x:alignment horizontal="center"/>
    </x:xf>
    <x:xf numFmtId="164" fontId="5" fillId="0" borderId="20" xfId="0" applyNumberFormat="1" applyFont="1" applyBorder="1" applyAlignment="1">
      <x:alignment horizontal="center"/>
    </x:xf>
    <x:xf numFmtId="164" fontId="5" fillId="0" borderId="46" xfId="0" applyNumberFormat="1" applyFont="1" applyBorder="1" applyAlignment="1">
      <x:alignment horizontal="center"/>
    </x:xf>
    <x:xf numFmtId="167" fontId="5" fillId="0" borderId="46" xfId="0" applyNumberFormat="1" applyFont="1" applyBorder="1" applyAlignment="1">
      <x:alignment horizontal="center"/>
    </x:xf>
    <x:xf numFmtId="164" fontId="5" fillId="0" borderId="21" xfId="0" applyNumberFormat="1" applyFont="1" applyBorder="1" applyAlignment="1">
      <x:alignment horizontal="center"/>
    </x:xf>
    <x:xf numFmtId="164" fontId="5" fillId="0" borderId="33" xfId="0" applyNumberFormat="1" applyFont="1" applyBorder="1" applyAlignment="1">
      <x:alignment horizontal="center"/>
    </x:xf>
    <x:xf numFmtId="0" fontId="5" fillId="0" borderId="0" xfId="0" applyFont="1" applyAlignment="1">
      <x:alignment horizontal="left"/>
    </x:xf>
    <x:xf numFmtId="164" fontId="7" fillId="0" borderId="0" xfId="0" applyNumberFormat="1" applyFont="1"/>
    <x:xf numFmtId="164" fontId="5" fillId="0" borderId="0" xfId="0" applyNumberFormat="1" applyFont="1" applyAlignment="1">
      <x:alignment horizontal="center"/>
    </x:xf>
    <x:xf numFmtId="167" fontId="5" fillId="0" borderId="0" xfId="0" applyNumberFormat="1" applyFont="1" applyAlignment="1">
      <x:alignment horizontal="center"/>
    </x:xf>
    <x:xf numFmtId="164" fontId="5" fillId="0" borderId="19" xfId="0" applyNumberFormat="1" applyFont="1" applyBorder="1" applyAlignment="1">
      <x:alignment horizontal="center"/>
    </x:xf>
    <x:xf numFmtId="164" fontId="5" fillId="0" borderId="17" xfId="0" applyNumberFormat="1" applyFont="1" applyBorder="1" applyAlignment="1">
      <x:alignment horizontal="center"/>
    </x:xf>
    <x:xf numFmtId="164" fontId="5" fillId="0" borderId="5" xfId="0" applyNumberFormat="1" applyFont="1" applyBorder="1" applyAlignment="1">
      <x:alignment horizontal="center"/>
    </x:xf>
    <x:xf numFmtId="167" fontId="5" fillId="0" borderId="5" xfId="0" applyNumberFormat="1" applyFont="1" applyBorder="1" applyAlignment="1">
      <x:alignment horizontal="center"/>
    </x:xf>
    <x:xf numFmtId="164" fontId="5" fillId="0" borderId="18" xfId="0" applyNumberFormat="1" applyFont="1" applyBorder="1" applyAlignment="1">
      <x:alignment horizontal="center"/>
    </x:xf>
    <x:xf numFmtId="164" fontId="5" fillId="0" borderId="34" xfId="0" applyNumberFormat="1" applyFont="1" applyBorder="1" applyAlignment="1">
      <x:alignment horizontal="center"/>
    </x:xf>
    <x:xf numFmtId="164" fontId="5" fillId="0" borderId="32" xfId="0" applyNumberFormat="1" applyFont="1" applyBorder="1" applyAlignment="1">
      <x:alignment horizontal="center"/>
    </x:xf>
    <x:xf numFmtId="164" fontId="5" fillId="0" borderId="23" xfId="0" applyNumberFormat="1" applyFont="1" applyBorder="1" applyAlignment="1">
      <x:alignment horizontal="center"/>
    </x:xf>
    <x:xf numFmtId="164" fontId="5" fillId="0" borderId="10" xfId="0" applyNumberFormat="1" applyFont="1" applyBorder="1" applyAlignment="1">
      <x:alignment horizontal="center"/>
    </x:xf>
    <x:xf numFmtId="167" fontId="5" fillId="0" borderId="10" xfId="0" applyNumberFormat="1" applyFont="1" applyBorder="1" applyAlignment="1">
      <x:alignment horizontal="center"/>
    </x:xf>
    <x:xf numFmtId="164" fontId="5" fillId="0" borderId="25" xfId="0" applyNumberFormat="1" applyFont="1" applyBorder="1" applyAlignment="1">
      <x:alignment horizontal="center"/>
    </x:xf>
    <x:xf numFmtId="164" fontId="5" fillId="0" borderId="35" xfId="0" applyNumberFormat="1" applyFont="1" applyBorder="1" applyAlignment="1">
      <x:alignment horizontal="center"/>
    </x:xf>
    <x:xf numFmtId="164" fontId="5" fillId="0" borderId="2" xfId="0" applyNumberFormat="1" applyFont="1" applyBorder="1" applyAlignment="1">
      <x:alignment horizontal="center"/>
    </x:xf>
    <x:xf numFmtId="167" fontId="5" fillId="0" borderId="2" xfId="0" applyNumberFormat="1" applyFont="1" applyBorder="1" applyAlignment="1">
      <x:alignment horizontal="center"/>
    </x:xf>
    <x:xf numFmtId="164" fontId="5" fillId="0" borderId="29" xfId="0" applyNumberFormat="1" applyFont="1" applyBorder="1" applyAlignment="1">
      <x:alignment horizontal="center"/>
    </x:xf>
    <x:xf numFmtId="164" fontId="5" fillId="0" borderId="0" xfId="0" applyNumberFormat="1" applyFont="1"/>
    <x:xf numFmtId="164" fontId="5" fillId="0" borderId="8" xfId="0" applyNumberFormat="1" applyFont="1" applyBorder="1" applyAlignment="1">
      <x:alignment horizontal="center"/>
    </x:xf>
    <x:xf numFmtId="164" fontId="5" fillId="0" borderId="45" xfId="0" applyNumberFormat="1" applyFont="1" applyBorder="1" applyAlignment="1">
      <x:alignment horizontal="center"/>
    </x:xf>
    <x:xf numFmtId="164" fontId="5" fillId="0" borderId="42" xfId="0" applyNumberFormat="1" applyFont="1" applyBorder="1" applyAlignment="1">
      <x:alignment horizontal="center"/>
    </x:xf>
    <x:xf numFmtId="164" fontId="5" fillId="0" borderId="12" xfId="0" applyNumberFormat="1" applyFont="1" applyBorder="1" applyAlignment="1">
      <x:alignment horizontal="center"/>
    </x:xf>
    <x:xf numFmtId="164" fontId="5" fillId="12" borderId="10" xfId="0" applyNumberFormat="1" applyFont="1" applyFill="1" applyBorder="1" applyAlignment="1">
      <x:alignment horizontal="center"/>
    </x:xf>
    <x:xf numFmtId="164" fontId="7" fillId="0" borderId="0" xfId="0" applyNumberFormat="1" applyFont="1" applyAlignment="1">
      <x:alignment horizontal="center"/>
    </x:xf>
    <x:xf numFmtId="164" fontId="5" fillId="0" borderId="6" xfId="0" applyNumberFormat="1" applyFont="1" applyBorder="1" applyAlignment="1">
      <x:alignment horizontal="center"/>
    </x:xf>
    <x:xf numFmtId="164" fontId="18" fillId="12" borderId="6" xfId="0" applyNumberFormat="1" applyFont="1" applyFill="1" applyBorder="1" applyAlignment="1">
      <x:alignment horizontal="center" vertical="center"/>
    </x:xf>
    <x:xf numFmtId="0" fontId="7" fillId="12" borderId="6" xfId="0" applyFont="1" applyFill="1" applyBorder="1" applyAlignment="1">
      <x:alignment horizontal="center" vertical="center"/>
    </x:xf>
    <x:xf numFmtId="164" fontId="18" fillId="0" borderId="6" xfId="0" applyNumberFormat="1" applyFont="1" applyBorder="1" applyAlignment="1">
      <x:alignment horizontal="center" vertical="center"/>
    </x:xf>
    <x:xf numFmtId="164" fontId="18" fillId="0" borderId="0" xfId="0" applyNumberFormat="1" applyFont="1" applyAlignment="1">
      <x:alignment horizontal="center" vertical="center"/>
    </x:xf>
    <x:xf numFmtId="0" fontId="5" fillId="0" borderId="0" xfId="0" applyFont="1" applyAlignment="1">
      <x:alignment vertical="center"/>
    </x:xf>
    <x:xf numFmtId="0" fontId="5" fillId="0" borderId="0" xfId="0" applyFont="1" applyAlignment="1">
      <x:alignment horizontal="center" vertical="center"/>
    </x:xf>
    <x:xf numFmtId="0" fontId="7" fillId="0" borderId="6" xfId="0" applyFont="1" applyBorder="1" applyAlignment="1">
      <x:alignment vertical="center"/>
    </x:xf>
    <x:xf numFmtId="165" fontId="5" fillId="0" borderId="5" xfId="0" applyNumberFormat="1" applyFont="1" applyBorder="1"/>
    <x:xf numFmtId="165" fontId="5" fillId="0" borderId="0" xfId="0" applyNumberFormat="1" applyFont="1"/>
    <x:xf numFmtId="0" fontId="5" fillId="0" borderId="4" xfId="0" applyFont="1" applyBorder="1" applyAlignment="1">
      <x:alignment horizontal="left"/>
    </x:xf>
    <x:xf numFmtId="0" fontId="5" fillId="0" borderId="19" xfId="0" applyFont="1" applyBorder="1"/>
    <x:xf numFmtId="165" fontId="5" fillId="0" borderId="6" xfId="0" applyNumberFormat="1" applyFont="1" applyBorder="1"/>
    <x:xf numFmtId="165" fontId="7" fillId="0" borderId="0" xfId="0" applyNumberFormat="1" applyFont="1"/>
    <x:xf numFmtId="165" fontId="5" fillId="12" borderId="5" xfId="0" applyNumberFormat="1" applyFont="1" applyFill="1" applyBorder="1"/>
    <x:xf numFmtId="164" fontId="5" fillId="0" borderId="26" xfId="0" applyNumberFormat="1" applyFont="1" applyBorder="1" applyAlignment="1">
      <x:alignment horizontal="center"/>
    </x:xf>
    <x:xf numFmtId="0" fontId="5" fillId="0" borderId="26" xfId="0" applyFont="1" applyBorder="1"/>
    <x:xf numFmtId="0" fontId="5" fillId="0" borderId="4" xfId="0" applyFont="1" applyBorder="1"/>
    <x:xf numFmtId="0" fontId="17" fillId="0" borderId="0" xfId="0" applyFont="1" applyAlignment="1">
      <x:alignment vertical="center"/>
    </x:xf>
    <x:xf numFmtId="164" fontId="5" fillId="12" borderId="8" xfId="0" applyNumberFormat="1" applyFont="1" applyFill="1" applyBorder="1" applyAlignment="1">
      <x:alignment horizontal="center"/>
    </x:xf>
    <x:xf numFmtId="167" fontId="5" fillId="12" borderId="20" xfId="0" applyNumberFormat="1" applyFont="1" applyFill="1" applyBorder="1" applyAlignment="1">
      <x:alignment horizontal="center"/>
    </x:xf>
    <x:xf numFmtId="164" fontId="5" fillId="12" borderId="5" xfId="0" applyNumberFormat="1" applyFont="1" applyFill="1" applyBorder="1" applyAlignment="1">
      <x:alignment horizontal="center"/>
    </x:xf>
    <x:xf numFmtId="167" fontId="5" fillId="12" borderId="17" xfId="0" applyNumberFormat="1" applyFont="1" applyFill="1" applyBorder="1" applyAlignment="1">
      <x:alignment horizontal="center"/>
    </x:xf>
    <x:xf numFmtId="167" fontId="5" fillId="12" borderId="23" xfId="0" applyNumberFormat="1" applyFont="1" applyFill="1" applyBorder="1" applyAlignment="1">
      <x:alignment horizontal="center"/>
    </x:xf>
    <x:xf numFmtId="167" fontId="5" fillId="12" borderId="5" xfId="0" applyNumberFormat="1" applyFont="1" applyFill="1" applyBorder="1" applyAlignment="1">
      <x:alignment horizontal="center"/>
    </x:xf>
    <x:xf numFmtId="0" fontId="17" fillId="0" borderId="0" xfId="0" applyFont="1" applyAlignment="1">
      <x:alignment horizontal="center" vertical="center"/>
    </x:xf>
    <x:xf numFmtId="0" fontId="19" fillId="0" borderId="0" xfId="0" applyFont="1"/>
    <x:xf numFmtId="0" fontId="0" fillId="15" borderId="6" xfId="0" applyFill="1" applyBorder="1" applyAlignment="1">
      <x:alignment horizontal="center"/>
    </x:xf>
    <x:xf numFmtId="0" fontId="0" fillId="7" borderId="6" xfId="0" applyFill="1" applyBorder="1" applyAlignment="1">
      <x:alignment horizontal="center"/>
    </x:xf>
    <x:xf numFmtId="0" fontId="0" fillId="11" borderId="6" xfId="0" applyFill="1" applyBorder="1" applyAlignment="1">
      <x:alignment horizontal="center"/>
    </x:xf>
    <x:xf numFmtId="0" fontId="0" fillId="16" borderId="6" xfId="0" applyFill="1" applyBorder="1" applyAlignment="1">
      <x:alignment horizontal="center"/>
    </x:xf>
    <x:xf numFmtId="0" fontId="0" fillId="3" borderId="6" xfId="0" applyFill="1" applyBorder="1" applyAlignment="1">
      <x:alignment horizontal="center"/>
    </x:xf>
    <x:xf numFmtId="0" fontId="0" fillId="17" borderId="6" xfId="0" applyFill="1" applyBorder="1" applyAlignment="1">
      <x:alignment horizontal="center"/>
    </x:xf>
    <x:xf numFmtId="0" fontId="0" fillId="6" borderId="6" xfId="0" applyFill="1" applyBorder="1" applyAlignment="1">
      <x:alignment horizontal="center"/>
    </x:xf>
    <x:xf numFmtId="0" fontId="0" fillId="18" borderId="6" xfId="0" applyFill="1" applyBorder="1" applyAlignment="1">
      <x:alignment horizontal="center"/>
    </x:xf>
    <x:xf numFmtId="0" fontId="0" fillId="19" borderId="6" xfId="0" applyFill="1" applyBorder="1" applyAlignment="1">
      <x:alignment horizontal="center"/>
    </x:xf>
    <x:xf numFmtId="0" fontId="0" fillId="0" borderId="43" xfId="0" applyBorder="1" applyAlignment="1">
      <x:alignment horizontal="center"/>
    </x:xf>
    <x:xf numFmtId="0" fontId="0" fillId="0" borderId="39" xfId="0" applyBorder="1" applyAlignment="1">
      <x:alignment horizontal="center"/>
    </x:xf>
    <x:xf numFmtId="0" fontId="0" fillId="0" borderId="39" xfId="0" applyBorder="1"/>
    <x:xf numFmtId="0" fontId="0" fillId="0" borderId="44" xfId="0" applyBorder="1" applyAlignment="1">
      <x:alignment horizontal="center"/>
    </x:xf>
    <x:xf numFmtId="0" fontId="0" fillId="0" borderId="44" xfId="0" applyBorder="1"/>
    <x:xf numFmtId="0" fontId="0" fillId="0" borderId="26" xfId="0" applyBorder="1" applyAlignment="1">
      <x:alignment horizontal="center"/>
    </x:xf>
    <x:xf numFmtId="0" fontId="19" fillId="0" borderId="26" xfId="0" applyFont="1" applyBorder="1"/>
    <x:xf numFmtId="0" fontId="0" fillId="0" borderId="6" xfId="0" applyBorder="1" applyAlignment="1">
      <x:alignment horizontal="center"/>
    </x:xf>
    <x:xf numFmtId="14" fontId="0" fillId="0" borderId="6" xfId="0" applyNumberFormat="1" applyBorder="1" applyAlignment="1">
      <x:alignment horizontal="center"/>
    </x:xf>
    <x:xf numFmtId="164" fontId="0" fillId="0" borderId="5" xfId="0" applyNumberFormat="1" applyBorder="1"/>
    <x:xf numFmtId="164" fontId="0" fillId="0" borderId="0" xfId="0" applyNumberFormat="1"/>
    <x:xf numFmtId="0" fontId="1" fillId="0" borderId="6" xfId="0" applyFont="1" applyBorder="1" applyAlignment="1">
      <x:alignment horizontal="center"/>
    </x:xf>
    <x:xf numFmtId="16" fontId="0" fillId="7" borderId="6" xfId="0" applyNumberFormat="1" applyFill="1" applyBorder="1" applyAlignment="1">
      <x:alignment horizontal="center"/>
    </x:xf>
    <x:xf numFmtId="164" fontId="1" fillId="0" borderId="6" xfId="0" applyNumberFormat="1" applyFont="1" applyBorder="1" applyAlignment="1">
      <x:alignment horizontal="center"/>
    </x:xf>
    <x:xf numFmtId="164" fontId="1" fillId="0" borderId="0" xfId="0" applyNumberFormat="1" applyFont="1" applyAlignment="1">
      <x:alignment horizontal="center"/>
    </x:xf>
    <x:xf numFmtId="168" fontId="0" fillId="12" borderId="36" xfId="0" applyNumberFormat="1" applyFill="1" applyBorder="1"/>
    <x:xf numFmtId="168" fontId="0" fillId="0" borderId="4" xfId="0" applyNumberFormat="1" applyBorder="1"/>
    <x:xf numFmtId="168" fontId="0" fillId="12" borderId="37" xfId="0" applyNumberFormat="1" applyFill="1" applyBorder="1"/>
    <x:xf numFmtId="168" fontId="0" fillId="12" borderId="27" xfId="0" applyNumberFormat="1" applyFill="1" applyBorder="1"/>
    <x:xf numFmtId="169" fontId="0" fillId="0" borderId="8" xfId="0" applyNumberFormat="1" applyBorder="1"/>
    <x:xf numFmtId="169" fontId="0" fillId="0" borderId="5" xfId="0" applyNumberFormat="1" applyBorder="1"/>
    <x:xf numFmtId="169" fontId="0" fillId="0" borderId="10" xfId="0" applyNumberFormat="1" applyBorder="1"/>
    <x:xf numFmtId="170" fontId="0" fillId="0" borderId="0" xfId="0" applyNumberFormat="1"/>
    <x:xf numFmtId="170" fontId="0" fillId="0" borderId="31" xfId="0" applyNumberFormat="1" applyBorder="1"/>
    <x:xf numFmtId="170" fontId="0" fillId="0" borderId="8" xfId="0" applyNumberFormat="1" applyBorder="1"/>
    <x:xf numFmtId="170" fontId="0" fillId="0" borderId="5" xfId="0" applyNumberFormat="1" applyBorder="1"/>
    <x:xf numFmtId="170" fontId="0" fillId="0" borderId="10" xfId="0" applyNumberFormat="1" applyBorder="1"/>
    <x:xf numFmtId="170" fontId="15" fillId="0" borderId="0" xfId="0" applyNumberFormat="1" applyFont="1"/>
    <x:xf numFmtId="164" fontId="4" fillId="0" borderId="1" xfId="0" applyNumberFormat="1" applyFont="1" applyBorder="1" applyAlignment="1">
      <x:alignment horizontal="center" vertical="center"/>
    </x:xf>
    <x:xf numFmtId="164" fontId="4" fillId="0" borderId="2" xfId="0" applyNumberFormat="1" applyFont="1" applyBorder="1" applyAlignment="1">
      <x:alignment horizontal="center" vertical="center"/>
    </x:xf>
    <x:xf numFmtId="164" fontId="4" fillId="0" borderId="3" xfId="0" applyNumberFormat="1" applyFont="1" applyBorder="1" applyAlignment="1">
      <x:alignment horizontal="center" vertical="center"/>
    </x:xf>
    <x:xf numFmtId="0" fontId="2" fillId="2" borderId="1" xfId="0" applyFont="1" applyFill="1" applyBorder="1" applyAlignment="1">
      <x:alignment horizontal="center" vertical="center"/>
    </x:xf>
    <x:xf numFmtId="0" fontId="2" fillId="2" borderId="2" xfId="0" applyFont="1" applyFill="1" applyBorder="1" applyAlignment="1">
      <x:alignment horizontal="center" vertical="center"/>
    </x:xf>
    <x:xf numFmtId="0" fontId="2" fillId="2" borderId="3" xfId="0" applyFont="1" applyFill="1" applyBorder="1" applyAlignment="1">
      <x:alignment horizontal="center" vertical="center"/>
    </x:xf>
    <x:xf numFmtId="0" fontId="4" fillId="12" borderId="1" xfId="0" applyFont="1" applyFill="1" applyBorder="1" applyAlignment="1">
      <x:alignment horizontal="center" vertical="center"/>
    </x:xf>
    <x:xf numFmtId="0" fontId="4" fillId="12" borderId="2" xfId="0" applyFont="1" applyFill="1" applyBorder="1" applyAlignment="1">
      <x:alignment horizontal="center" vertical="center"/>
    </x:xf>
    <x:xf numFmtId="0" fontId="4" fillId="12" borderId="3" xfId="0" applyFont="1" applyFill="1" applyBorder="1" applyAlignment="1">
      <x:alignment horizontal="center" vertical="center"/>
    </x:xf>
    <x:xf numFmtId="14" fontId="4" fillId="0" borderId="1" xfId="0" applyNumberFormat="1" applyFont="1" applyBorder="1" applyAlignment="1">
      <x:alignment horizontal="center" vertical="center"/>
    </x:xf>
    <x:xf numFmtId="14" fontId="4" fillId="0" borderId="3" xfId="0" applyNumberFormat="1" applyFont="1" applyBorder="1" applyAlignment="1">
      <x:alignment horizontal="center" vertical="center"/>
    </x:xf>
    <x:xf numFmtId="0" fontId="17" fillId="2" borderId="1" xfId="0" applyFont="1" applyFill="1" applyBorder="1" applyAlignment="1">
      <x:alignment horizontal="center" vertical="center"/>
    </x:xf>
    <x:xf numFmtId="0" fontId="17" fillId="2" borderId="2" xfId="0" applyFont="1" applyFill="1" applyBorder="1" applyAlignment="1">
      <x:alignment horizontal="center" vertical="center"/>
    </x:xf>
    <x:xf numFmtId="0" fontId="17" fillId="2" borderId="3" xfId="0" applyFont="1" applyFill="1" applyBorder="1" applyAlignment="1">
      <x:alignment horizontal="center" vertical="center"/>
    </x:xf>
    <x:xf numFmtId="0" fontId="17" fillId="2" borderId="15" xfId="0" applyFont="1" applyFill="1" applyBorder="1" applyAlignment="1">
      <x:alignment horizontal="center" vertical="center"/>
    </x:xf>
    <x:xf numFmtId="0" fontId="17" fillId="2" borderId="31" xfId="0" applyFont="1" applyFill="1" applyBorder="1" applyAlignment="1">
      <x:alignment horizontal="center" vertical="center"/>
    </x:xf>
    <x:xf numFmtId="0" fontId="17" fillId="2" borderId="16" xfId="0" applyFont="1" applyFill="1" applyBorder="1" applyAlignment="1">
      <x:alignment horizontal="center" vertical="center"/>
    </x:xf>
    <x:xf numFmtId="0" fontId="17" fillId="2" borderId="13" xfId="0" applyFont="1" applyFill="1" applyBorder="1" applyAlignment="1">
      <x:alignment horizontal="center" vertical="center"/>
    </x:xf>
    <x:xf numFmtId="0" fontId="17" fillId="2" borderId="26" xfId="0" applyFont="1" applyFill="1" applyBorder="1" applyAlignment="1">
      <x:alignment horizontal="center" vertical="center"/>
    </x:xf>
    <x:xf numFmtId="0" fontId="17" fillId="2" borderId="14" xfId="0" applyFont="1" applyFill="1" applyBorder="1" applyAlignment="1">
      <x:alignment horizontal="center" vertical="center"/>
    </x:xf>
    <x:xf numFmtId="0" fontId="7" fillId="11" borderId="15" xfId="0" applyFont="1" applyFill="1" applyBorder="1" applyAlignment="1">
      <x:alignment horizontal="center"/>
    </x:xf>
    <x:xf numFmtId="0" fontId="7" fillId="11" borderId="16" xfId="0" applyFont="1" applyFill="1" applyBorder="1" applyAlignment="1">
      <x:alignment horizontal="center"/>
    </x:xf>
    <x:xf numFmtId="0" fontId="1" fillId="3" borderId="13" xfId="0" applyFont="1" applyFill="1" applyBorder="1" applyAlignment="1">
      <x:alignment horizontal="center"/>
    </x:xf>
    <x:xf numFmtId="0" fontId="1" fillId="3" borderId="14" xfId="0" applyFont="1" applyFill="1" applyBorder="1" applyAlignment="1">
      <x:alignment horizontal="center"/>
    </x:xf>
    <x:xf numFmtId="0" fontId="1" fillId="9" borderId="13" xfId="0" applyFont="1" applyFill="1" applyBorder="1" applyAlignment="1">
      <x:alignment horizontal="center"/>
    </x:xf>
    <x:xf numFmtId="0" fontId="1" fillId="9" borderId="14" xfId="0" applyFont="1" applyFill="1" applyBorder="1" applyAlignment="1">
      <x:alignment horizontal="center"/>
    </x:xf>
    <x:xf numFmtId="0" fontId="1" fillId="4" borderId="13" xfId="0" applyFont="1" applyFill="1" applyBorder="1" applyAlignment="1">
      <x:alignment horizontal="center"/>
    </x:xf>
    <x:xf numFmtId="0" fontId="1" fillId="4" borderId="14" xfId="0" applyFont="1" applyFill="1" applyBorder="1" applyAlignment="1">
      <x:alignment horizontal="center"/>
    </x:xf>
    <x:xf numFmtId="0" fontId="1" fillId="8" borderId="13" xfId="0" applyFont="1" applyFill="1" applyBorder="1" applyAlignment="1">
      <x:alignment horizontal="center"/>
    </x:xf>
    <x:xf numFmtId="0" fontId="1" fillId="8" borderId="14" xfId="0" applyFont="1" applyFill="1" applyBorder="1" applyAlignment="1">
      <x:alignment horizontal="center"/>
    </x:xf>
    <x:xf numFmtId="0" fontId="1" fillId="6" borderId="13" xfId="0" applyFont="1" applyFill="1" applyBorder="1" applyAlignment="1">
      <x:alignment horizontal="center"/>
    </x:xf>
    <x:xf numFmtId="0" fontId="1" fillId="6" borderId="14" xfId="0" applyFont="1" applyFill="1" applyBorder="1" applyAlignment="1">
      <x:alignment horizontal="center"/>
    </x:xf>
    <x:xf numFmtId="0" fontId="1" fillId="11" borderId="13" xfId="0" applyFont="1" applyFill="1" applyBorder="1" applyAlignment="1">
      <x:alignment horizontal="center"/>
    </x:xf>
    <x:xf numFmtId="0" fontId="1" fillId="11" borderId="14" xfId="0" applyFont="1" applyFill="1" applyBorder="1" applyAlignment="1">
      <x:alignment horizontal="center"/>
    </x:xf>
    <x:xf numFmtId="0" fontId="7" fillId="3" borderId="15" xfId="0" applyFont="1" applyFill="1" applyBorder="1" applyAlignment="1">
      <x:alignment horizontal="center"/>
    </x:xf>
    <x:xf numFmtId="0" fontId="7" fillId="3" borderId="16" xfId="0" applyFont="1" applyFill="1" applyBorder="1" applyAlignment="1">
      <x:alignment horizontal="center"/>
    </x:xf>
    <x:xf numFmtId="0" fontId="7" fillId="9" borderId="15" xfId="0" applyFont="1" applyFill="1" applyBorder="1" applyAlignment="1">
      <x:alignment horizontal="center"/>
    </x:xf>
    <x:xf numFmtId="0" fontId="7" fillId="9" borderId="16" xfId="0" applyFont="1" applyFill="1" applyBorder="1" applyAlignment="1">
      <x:alignment horizontal="center"/>
    </x:xf>
    <x:xf numFmtId="0" fontId="7" fillId="4" borderId="15" xfId="0" applyFont="1" applyFill="1" applyBorder="1" applyAlignment="1">
      <x:alignment horizontal="center"/>
    </x:xf>
    <x:xf numFmtId="0" fontId="7" fillId="4" borderId="16" xfId="0" applyFont="1" applyFill="1" applyBorder="1" applyAlignment="1">
      <x:alignment horizontal="center"/>
    </x:xf>
    <x:xf numFmtId="0" fontId="7" fillId="8" borderId="15" xfId="0" applyFont="1" applyFill="1" applyBorder="1" applyAlignment="1">
      <x:alignment horizontal="center"/>
    </x:xf>
    <x:xf numFmtId="0" fontId="7" fillId="8" borderId="16" xfId="0" applyFont="1" applyFill="1" applyBorder="1" applyAlignment="1">
      <x:alignment horizontal="center"/>
    </x:xf>
    <x:xf numFmtId="0" fontId="7" fillId="6" borderId="15" xfId="0" applyFont="1" applyFill="1" applyBorder="1" applyAlignment="1">
      <x:alignment horizontal="center"/>
    </x:xf>
    <x:xf numFmtId="0" fontId="7" fillId="6" borderId="16" xfId="0" applyFont="1" applyFill="1" applyBorder="1" applyAlignment="1">
      <x:alignment horizontal="center"/>
    </x:xf>
    <x:xf numFmtId="0" fontId="7" fillId="10" borderId="15" xfId="0" applyFont="1" applyFill="1" applyBorder="1" applyAlignment="1">
      <x:alignment horizontal="center"/>
    </x:xf>
    <x:xf numFmtId="0" fontId="7" fillId="10" borderId="31" xfId="0" applyFont="1" applyFill="1" applyBorder="1" applyAlignment="1">
      <x:alignment horizontal="center"/>
    </x:xf>
    <x:xf numFmtId="0" fontId="7" fillId="10" borderId="16" xfId="0" applyFont="1" applyFill="1" applyBorder="1" applyAlignment="1">
      <x:alignment horizontal="center"/>
    </x:xf>
    <x:xf numFmtId="0" fontId="7" fillId="10" borderId="4" xfId="0" applyFont="1" applyFill="1" applyBorder="1" applyAlignment="1">
      <x:alignment horizontal="center"/>
    </x:xf>
    <x:xf numFmtId="0" fontId="7" fillId="10" borderId="0" xfId="0" applyFont="1" applyFill="1" applyAlignment="1">
      <x:alignment horizontal="center"/>
    </x:xf>
    <x:xf numFmtId="0" fontId="7" fillId="10" borderId="19" xfId="0" applyFont="1" applyFill="1" applyBorder="1" applyAlignment="1">
      <x:alignment horizontal="center"/>
    </x:xf>
    <x:xf numFmtId="164" fontId="4" fillId="11" borderId="1" xfId="0" applyNumberFormat="1" applyFont="1" applyFill="1" applyBorder="1" applyAlignment="1">
      <x:alignment horizontal="center" vertical="center"/>
    </x:xf>
    <x:xf numFmtId="164" fontId="4" fillId="11" borderId="3" xfId="0" applyNumberFormat="1" applyFont="1" applyFill="1" applyBorder="1" applyAlignment="1">
      <x:alignment horizontal="center" vertical="center"/>
    </x:xf>
    <x:xf numFmtId="0" fontId="1" fillId="0" borderId="11" xfId="0" applyFont="1" applyBorder="1" applyAlignment="1">
      <x:alignment horizontal="center"/>
    </x:xf>
    <x:xf numFmtId="0" fontId="1" fillId="0" borderId="12" xfId="0" applyFont="1" applyBorder="1" applyAlignment="1">
      <x:alignment horizontal="center"/>
    </x:xf>
    <x:xf numFmtId="0" fontId="1" fillId="0" borderId="1" xfId="0" applyFont="1" applyBorder="1" applyAlignment="1">
      <x:alignment horizontal="center"/>
    </x:xf>
    <x:xf numFmtId="0" fontId="1" fillId="0" borderId="3" xfId="0" applyFont="1" applyBorder="1" applyAlignment="1">
      <x:alignment horizontal="center"/>
    </x:xf>
    <x:xf numFmtId="164" fontId="4" fillId="3" borderId="4" xfId="0" applyNumberFormat="1" applyFont="1" applyFill="1" applyBorder="1" applyAlignment="1">
      <x:alignment horizontal="center" vertical="center"/>
    </x:xf>
    <x:xf numFmtId="164" fontId="4" fillId="3" borderId="19" xfId="0" applyNumberFormat="1" applyFont="1" applyFill="1" applyBorder="1" applyAlignment="1">
      <x:alignment horizontal="center" vertical="center"/>
    </x:xf>
    <x:xf numFmtId="164" fontId="4" fillId="9" borderId="13" xfId="0" applyNumberFormat="1" applyFont="1" applyFill="1" applyBorder="1" applyAlignment="1">
      <x:alignment horizontal="center" vertical="center"/>
    </x:xf>
    <x:xf numFmtId="164" fontId="4" fillId="9" borderId="14" xfId="0" applyNumberFormat="1" applyFont="1" applyFill="1" applyBorder="1" applyAlignment="1">
      <x:alignment horizontal="center" vertical="center"/>
    </x:xf>
    <x:xf numFmtId="164" fontId="4" fillId="4" borderId="13" xfId="0" applyNumberFormat="1" applyFont="1" applyFill="1" applyBorder="1" applyAlignment="1">
      <x:alignment horizontal="center" vertical="center"/>
    </x:xf>
    <x:xf numFmtId="164" fontId="4" fillId="4" borderId="14" xfId="0" applyNumberFormat="1" applyFont="1" applyFill="1" applyBorder="1" applyAlignment="1">
      <x:alignment horizontal="center" vertical="center"/>
    </x:xf>
    <x:xf numFmtId="164" fontId="4" fillId="8" borderId="13" xfId="0" applyNumberFormat="1" applyFont="1" applyFill="1" applyBorder="1" applyAlignment="1">
      <x:alignment horizontal="center" vertical="center"/>
    </x:xf>
    <x:xf numFmtId="164" fontId="4" fillId="8" borderId="14" xfId="0" applyNumberFormat="1" applyFont="1" applyFill="1" applyBorder="1" applyAlignment="1">
      <x:alignment horizontal="center" vertical="center"/>
    </x:xf>
    <x:xf numFmtId="164" fontId="4" fillId="6" borderId="13" xfId="0" applyNumberFormat="1" applyFont="1" applyFill="1" applyBorder="1" applyAlignment="1">
      <x:alignment horizontal="center" vertical="center"/>
    </x:xf>
    <x:xf numFmtId="164" fontId="4" fillId="6" borderId="14" xfId="0" applyNumberFormat="1" applyFont="1" applyFill="1" applyBorder="1" applyAlignment="1">
      <x:alignment horizontal="center" vertical="center"/>
    </x:xf>
    <x:xf numFmtId="164" fontId="4" fillId="10" borderId="1" xfId="0" applyNumberFormat="1" applyFont="1" applyFill="1" applyBorder="1" applyAlignment="1">
      <x:alignment horizontal="center" vertical="center"/>
    </x:xf>
    <x:xf numFmtId="164" fontId="4" fillId="10" borderId="2" xfId="0" applyNumberFormat="1" applyFont="1" applyFill="1" applyBorder="1" applyAlignment="1">
      <x:alignment horizontal="center" vertical="center"/>
    </x:xf>
    <x:xf numFmtId="164" fontId="4" fillId="10" borderId="3" xfId="0" applyNumberFormat="1" applyFont="1" applyFill="1" applyBorder="1" applyAlignment="1">
      <x:alignment horizontal="center" vertical="center"/>
    </x:xf>
    <x:xf numFmtId="0" fontId="1" fillId="0" borderId="2" xfId="0" applyFont="1" applyBorder="1" applyAlignment="1">
      <x:alignment horizontal="center"/>
    </x:xf>
    <x:xf numFmtId="0" fontId="7" fillId="0" borderId="1" xfId="0" applyFont="1" applyBorder="1" applyAlignment="1">
      <x:alignment horizontal="center"/>
    </x:xf>
    <x:xf numFmtId="0" fontId="7" fillId="0" borderId="2" xfId="0" applyFont="1" applyBorder="1" applyAlignment="1">
      <x:alignment horizontal="center"/>
    </x:xf>
    <x:xf numFmtId="0" fontId="7" fillId="0" borderId="3" xfId="0" applyFont="1" applyBorder="1" applyAlignment="1">
      <x:alignment horizontal="center"/>
    </x:xf>
    <x:xf numFmtId="0" fontId="7" fillId="0" borderId="1" xfId="0" applyFont="1" applyBorder="1" applyAlignment="1">
      <x:alignment horizontal="center" vertical="center"/>
    </x:xf>
    <x:xf numFmtId="0" fontId="7" fillId="0" borderId="2" xfId="0" applyFont="1" applyBorder="1" applyAlignment="1">
      <x:alignment horizontal="center" vertical="center"/>
    </x:xf>
    <x:xf numFmtId="0" fontId="7" fillId="0" borderId="3" xfId="0" applyFont="1" applyBorder="1" applyAlignment="1">
      <x:alignment horizontal="center" vertical="center"/>
    </x:xf>
    <x:xf numFmtId="0" fontId="7" fillId="12" borderId="1" xfId="0" applyFont="1" applyFill="1" applyBorder="1" applyAlignment="1">
      <x:alignment horizontal="center" vertical="center"/>
    </x:xf>
    <x:xf numFmtId="0" fontId="7" fillId="12" borderId="3" xfId="0" applyFont="1" applyFill="1" applyBorder="1" applyAlignment="1">
      <x:alignment horizontal="center" vertical="center"/>
    </x:xf>
    <x:xf numFmtId="0" fontId="5" fillId="0" borderId="3" xfId="0" applyFont="1" applyBorder="1" applyAlignment="1">
      <x:alignment horizontal="center" vertical="center"/>
    </x:xf>
    <x:xf numFmtId="164" fontId="4" fillId="12" borderId="1" xfId="0" applyNumberFormat="1" applyFont="1" applyFill="1" applyBorder="1" applyAlignment="1">
      <x:alignment horizontal="center" vertical="center"/>
    </x:xf>
    <x:xf numFmtId="164" fontId="4" fillId="12" borderId="3" xfId="0" applyNumberFormat="1" applyFont="1" applyFill="1" applyBorder="1" applyAlignment="1">
      <x:alignment horizontal="center" vertical="center"/>
    </x:xf>
    <x:xf numFmtId="164" fontId="4" fillId="3" borderId="1" xfId="0" applyNumberFormat="1" applyFont="1" applyFill="1" applyBorder="1" applyAlignment="1">
      <x:alignment horizontal="center" vertical="center"/>
    </x:xf>
    <x:xf numFmtId="164" fontId="4" fillId="3" borderId="3" xfId="0" applyNumberFormat="1" applyFont="1" applyFill="1" applyBorder="1" applyAlignment="1">
      <x:alignment horizontal="center" vertical="center"/>
    </x:xf>
    <x:xf numFmtId="164" fontId="4" fillId="9" borderId="1" xfId="0" applyNumberFormat="1" applyFont="1" applyFill="1" applyBorder="1" applyAlignment="1">
      <x:alignment horizontal="center" vertical="center"/>
    </x:xf>
    <x:xf numFmtId="164" fontId="4" fillId="9" borderId="3" xfId="0" applyNumberFormat="1" applyFont="1" applyFill="1" applyBorder="1" applyAlignment="1">
      <x:alignment horizontal="center" vertical="center"/>
    </x:xf>
    <x:xf numFmtId="164" fontId="4" fillId="4" borderId="1" xfId="0" applyNumberFormat="1" applyFont="1" applyFill="1" applyBorder="1" applyAlignment="1">
      <x:alignment horizontal="center" vertical="center"/>
    </x:xf>
    <x:xf numFmtId="164" fontId="4" fillId="4" borderId="3" xfId="0" applyNumberFormat="1" applyFont="1" applyFill="1" applyBorder="1" applyAlignment="1">
      <x:alignment horizontal="center" vertical="center"/>
    </x:xf>
    <x:xf numFmtId="164" fontId="4" fillId="8" borderId="1" xfId="0" applyNumberFormat="1" applyFont="1" applyFill="1" applyBorder="1" applyAlignment="1">
      <x:alignment horizontal="center" vertical="center"/>
    </x:xf>
    <x:xf numFmtId="164" fontId="4" fillId="8" borderId="3" xfId="0" applyNumberFormat="1" applyFont="1" applyFill="1" applyBorder="1" applyAlignment="1">
      <x:alignment horizontal="center" vertical="center"/>
    </x:xf>
    <x:xf numFmtId="164" fontId="4" fillId="6" borderId="1" xfId="0" applyNumberFormat="1" applyFont="1" applyFill="1" applyBorder="1" applyAlignment="1">
      <x:alignment horizontal="center" vertical="center"/>
    </x:xf>
    <x:xf numFmtId="164" fontId="4" fillId="6" borderId="3" xfId="0" applyNumberFormat="1" applyFont="1" applyFill="1" applyBorder="1" applyAlignment="1">
      <x:alignment horizontal="center" vertical="center"/>
    </x:xf>
    <x:xf numFmtId="164" fontId="4" fillId="12" borderId="13" xfId="0" applyNumberFormat="1" applyFont="1" applyFill="1" applyBorder="1" applyAlignment="1">
      <x:alignment horizontal="center" vertical="center"/>
    </x:xf>
    <x:xf numFmtId="164" fontId="4" fillId="12" borderId="14" xfId="0" applyNumberFormat="1" applyFont="1" applyFill="1" applyBorder="1" applyAlignment="1">
      <x:alignment horizontal="center" vertical="center"/>
    </x:xf>
    <x:xf numFmtId="164" fontId="4" fillId="0" borderId="4" xfId="0" applyNumberFormat="1" applyFont="1" applyBorder="1" applyAlignment="1">
      <x:alignment horizontal="center" vertical="center"/>
    </x:xf>
    <x:xf numFmtId="164" fontId="4" fillId="0" borderId="0" xfId="0" applyNumberFormat="1" applyFont="1" applyAlignment="1">
      <x:alignment horizontal="center" vertical="center"/>
    </x:xf>
    <x:xf numFmtId="164" fontId="4" fillId="0" borderId="19" xfId="0" applyNumberFormat="1" applyFont="1" applyBorder="1" applyAlignment="1">
      <x:alignment horizontal="center" vertical="center"/>
    </x:xf>
    <x:xf numFmtId="164" fontId="4" fillId="12" borderId="2" xfId="0" applyNumberFormat="1" applyFont="1" applyFill="1" applyBorder="1" applyAlignment="1">
      <x:alignment horizontal="center" vertical="center"/>
    </x:xf>
    <x:xf numFmtId="0" fontId="14" fillId="3" borderId="23" xfId="1" applyFill="1" applyBorder="1"/>
    <x:xf numFmtId="0" fontId="14" fillId="3" borderId="24" xfId="1" applyFill="1" applyBorder="1"/>
    <x:xf numFmtId="0" fontId="14" fillId="3" borderId="25" xfId="1" applyFill="1" applyBorder="1"/>
    <x:xf numFmtId="0" fontId="0" fillId="0" borderId="5" xfId="0" applyBorder="1" applyAlignment="1">
      <x:alignment horizontal="left"/>
    </x:xf>
    <x:xf numFmtId="164" fontId="5" fillId="0" borderId="17" xfId="0" applyNumberFormat="1" applyFont="1" applyBorder="1" applyAlignment="1">
      <x:alignment horizontal="center"/>
    </x:xf>
    <x:xf numFmtId="0" fontId="5" fillId="0" borderId="32" xfId="0" applyFont="1" applyBorder="1" applyAlignment="1">
      <x:alignment horizontal="center"/>
    </x:xf>
    <x:xf numFmtId="164" fontId="7" fillId="12" borderId="5" xfId="0" applyNumberFormat="1" applyFont="1" applyFill="1" applyBorder="1" applyAlignment="1">
      <x:alignment horizontal="center"/>
    </x:xf>
    <x:xf numFmtId="164" fontId="5" fillId="3" borderId="37" xfId="0" applyNumberFormat="1" applyFont="1" applyFill="1" applyBorder="1" applyAlignment="1">
      <x:alignment horizontal="center"/>
    </x:xf>
    <x:xf numFmtId="164" fontId="5" fillId="3" borderId="32" xfId="0" applyNumberFormat="1" applyFont="1" applyFill="1" applyBorder="1" applyAlignment="1">
      <x:alignment horizontal="center"/>
    </x:xf>
    <x:xf numFmtId="0" fontId="5" fillId="3" borderId="29" xfId="0" applyFont="1" applyFill="1" applyBorder="1" applyAlignment="1">
      <x:alignment horizontal="center"/>
    </x:xf>
    <x:xf numFmtId="164" fontId="5" fillId="12" borderId="1" xfId="0" applyNumberFormat="1" applyFont="1" applyFill="1" applyBorder="1" applyAlignment="1">
      <x:alignment horizontal="center"/>
    </x:xf>
    <x:xf numFmtId="164" fontId="5" fillId="12" borderId="2" xfId="0" applyNumberFormat="1" applyFont="1" applyFill="1" applyBorder="1" applyAlignment="1">
      <x:alignment horizontal="center"/>
    </x:xf>
    <x:xf numFmtId="0" fontId="5" fillId="12" borderId="3" xfId="0" applyFont="1" applyFill="1" applyBorder="1" applyAlignment="1">
      <x:alignment horizontal="center"/>
    </x:xf>
    <x:xf numFmtId="0" fontId="0" fillId="0" borderId="8" xfId="0" applyBorder="1" applyAlignment="1">
      <x:alignment horizontal="left"/>
    </x:xf>
    <x:xf numFmtId="164" fontId="5" fillId="0" borderId="20" xfId="0" applyNumberFormat="1" applyFont="1" applyBorder="1" applyAlignment="1">
      <x:alignment horizontal="center"/>
    </x:xf>
    <x:xf numFmtId="0" fontId="5" fillId="0" borderId="21" xfId="0" applyFont="1" applyBorder="1" applyAlignment="1">
      <x:alignment horizontal="center"/>
    </x:xf>
    <x:xf numFmtId="164" fontId="7" fillId="0" borderId="8" xfId="0" applyNumberFormat="1" applyFont="1" applyBorder="1" applyAlignment="1">
      <x:alignment horizontal="center"/>
    </x:xf>
    <x:xf numFmtId="164" fontId="5" fillId="3" borderId="36" xfId="0" applyNumberFormat="1" applyFont="1" applyFill="1" applyBorder="1" applyAlignment="1">
      <x:alignment horizontal="center"/>
    </x:xf>
    <x:xf numFmtId="164" fontId="5" fillId="3" borderId="38" xfId="0" applyNumberFormat="1" applyFont="1" applyFill="1" applyBorder="1" applyAlignment="1">
      <x:alignment horizontal="center"/>
    </x:xf>
    <x:xf numFmtId="0" fontId="5" fillId="3" borderId="28" xfId="0" applyFont="1" applyFill="1" applyBorder="1" applyAlignment="1">
      <x:alignment horizontal="center"/>
    </x:xf>
    <x:xf numFmtId="0" fontId="0" fillId="0" borderId="10" xfId="0" applyBorder="1" applyAlignment="1">
      <x:alignment horizontal="left"/>
    </x:xf>
    <x:xf numFmtId="164" fontId="5" fillId="0" borderId="23" xfId="0" applyNumberFormat="1" applyFont="1" applyBorder="1" applyAlignment="1">
      <x:alignment horizontal="center"/>
    </x:xf>
    <x:xf numFmtId="0" fontId="5" fillId="0" borderId="24" xfId="0" applyFont="1" applyBorder="1" applyAlignment="1">
      <x:alignment horizontal="center"/>
    </x:xf>
    <x:xf numFmtId="164" fontId="7" fillId="12" borderId="10" xfId="0" applyNumberFormat="1" applyFont="1" applyFill="1" applyBorder="1" applyAlignment="1">
      <x:alignment horizontal="center"/>
    </x:xf>
    <x:xf numFmtId="164" fontId="5" fillId="3" borderId="27" xfId="0" applyNumberFormat="1" applyFont="1" applyFill="1" applyBorder="1" applyAlignment="1">
      <x:alignment horizontal="center"/>
    </x:xf>
    <x:xf numFmtId="164" fontId="5" fillId="3" borderId="24" xfId="0" applyNumberFormat="1" applyFont="1" applyFill="1" applyBorder="1" applyAlignment="1">
      <x:alignment horizontal="center"/>
    </x:xf>
    <x:xf numFmtId="0" fontId="5" fillId="3" borderId="30" xfId="0" applyFont="1" applyFill="1" applyBorder="1" applyAlignment="1">
      <x:alignment horizontal="center"/>
    </x:xf>
    <x:xf numFmtId="0" fontId="14" fillId="3" borderId="47" xfId="1" applyFill="1" applyBorder="1"/>
    <x:xf numFmtId="0" fontId="14" fillId="3" borderId="48" xfId="1" applyFill="1" applyBorder="1"/>
    <x:xf numFmtId="0" fontId="14" fillId="3" borderId="49" xfId="1" applyFill="1" applyBorder="1"/>
    <x:xf numFmtId="0" fontId="14" fillId="3" borderId="17" xfId="1" applyFill="1" applyBorder="1"/>
    <x:xf numFmtId="0" fontId="14" fillId="3" borderId="32" xfId="1" applyFill="1" applyBorder="1"/>
    <x:xf numFmtId="0" fontId="14" fillId="3" borderId="18" xfId="1" applyFill="1" applyBorder="1"/>
    <x:xf numFmtId="0" fontId="5" fillId="0" borderId="18" xfId="0" applyFont="1" applyBorder="1" applyAlignment="1">
      <x:alignment horizontal="center"/>
    </x:xf>
    <x:xf numFmtId="164" fontId="7" fillId="12" borderId="17" xfId="0" applyNumberFormat="1" applyFont="1" applyFill="1" applyBorder="1" applyAlignment="1">
      <x:alignment horizontal="center"/>
    </x:xf>
    <x:xf numFmtId="164" fontId="5" fillId="9" borderId="37" xfId="0" applyNumberFormat="1" applyFont="1" applyFill="1" applyBorder="1" applyAlignment="1">
      <x:alignment horizontal="center"/>
    </x:xf>
    <x:xf numFmtId="164" fontId="5" fillId="9" borderId="32" xfId="0" applyNumberFormat="1" applyFont="1" applyFill="1" applyBorder="1" applyAlignment="1">
      <x:alignment horizontal="center"/>
    </x:xf>
    <x:xf numFmtId="0" fontId="5" fillId="9" borderId="29" xfId="0" applyFont="1" applyFill="1" applyBorder="1" applyAlignment="1">
      <x:alignment horizontal="center"/>
    </x:xf>
    <x:xf numFmtId="164" fontId="5" fillId="0" borderId="0" xfId="0" applyNumberFormat="1" applyFont="1" applyAlignment="1">
      <x:alignment horizontal="center"/>
    </x:xf>
    <x:xf numFmtId="164" fontId="7" fillId="12" borderId="8" xfId="0" applyNumberFormat="1" applyFont="1" applyFill="1" applyBorder="1" applyAlignment="1">
      <x:alignment horizontal="center"/>
    </x:xf>
    <x:xf numFmtId="164" fontId="7" fillId="12" borderId="20" xfId="0" applyNumberFormat="1" applyFont="1" applyFill="1" applyBorder="1" applyAlignment="1">
      <x:alignment horizontal="center"/>
    </x:xf>
    <x:xf numFmtId="164" fontId="5" fillId="9" borderId="36" xfId="0" applyNumberFormat="1" applyFont="1" applyFill="1" applyBorder="1" applyAlignment="1">
      <x:alignment horizontal="center"/>
    </x:xf>
    <x:xf numFmtId="164" fontId="5" fillId="9" borderId="38" xfId="0" applyNumberFormat="1" applyFont="1" applyFill="1" applyBorder="1" applyAlignment="1">
      <x:alignment horizontal="center"/>
    </x:xf>
    <x:xf numFmtId="0" fontId="5" fillId="9" borderId="28" xfId="0" applyFont="1" applyFill="1" applyBorder="1" applyAlignment="1">
      <x:alignment horizontal="center"/>
    </x:xf>
    <x:xf numFmtId="0" fontId="5" fillId="0" borderId="0" xfId="0" applyFont="1" applyAlignment="1">
      <x:alignment horizontal="center"/>
    </x:xf>
    <x:xf numFmtId="164" fontId="5" fillId="12" borderId="8" xfId="0" applyNumberFormat="1" applyFont="1" applyFill="1" applyBorder="1" applyAlignment="1">
      <x:alignment horizontal="center"/>
    </x:xf>
    <x:xf numFmtId="164" fontId="5" fillId="12" borderId="20" xfId="0" applyNumberFormat="1" applyFont="1" applyFill="1" applyBorder="1" applyAlignment="1">
      <x:alignment horizontal="center"/>
    </x:xf>
    <x:xf numFmtId="164" fontId="5" fillId="4" borderId="36" xfId="0" applyNumberFormat="1" applyFont="1" applyFill="1" applyBorder="1" applyAlignment="1">
      <x:alignment horizontal="center"/>
    </x:xf>
    <x:xf numFmtId="164" fontId="5" fillId="4" borderId="38" xfId="0" applyNumberFormat="1" applyFont="1" applyFill="1" applyBorder="1" applyAlignment="1">
      <x:alignment horizontal="center"/>
    </x:xf>
    <x:xf numFmtId="0" fontId="5" fillId="4" borderId="28" xfId="0" applyFont="1" applyFill="1" applyBorder="1" applyAlignment="1">
      <x:alignment horizontal="center"/>
    </x:xf>
    <x:xf numFmtId="0" fontId="5" fillId="0" borderId="25" xfId="0" applyFont="1" applyBorder="1" applyAlignment="1">
      <x:alignment horizontal="center"/>
    </x:xf>
    <x:xf numFmtId="164" fontId="7" fillId="12" borderId="23" xfId="0" applyNumberFormat="1" applyFont="1" applyFill="1" applyBorder="1" applyAlignment="1">
      <x:alignment horizontal="center"/>
    </x:xf>
    <x:xf numFmtId="164" fontId="5" fillId="9" borderId="27" xfId="0" applyNumberFormat="1" applyFont="1" applyFill="1" applyBorder="1" applyAlignment="1">
      <x:alignment horizontal="center"/>
    </x:xf>
    <x:xf numFmtId="164" fontId="5" fillId="9" borderId="24" xfId="0" applyNumberFormat="1" applyFont="1" applyFill="1" applyBorder="1" applyAlignment="1">
      <x:alignment horizontal="center"/>
    </x:xf>
    <x:xf numFmtId="0" fontId="5" fillId="9" borderId="30" xfId="0" applyFont="1" applyFill="1" applyBorder="1" applyAlignment="1">
      <x:alignment horizontal="center"/>
    </x:xf>
    <x:xf numFmtId="164" fontId="5" fillId="12" borderId="5" xfId="0" applyNumberFormat="1" applyFont="1" applyFill="1" applyBorder="1" applyAlignment="1">
      <x:alignment horizontal="center"/>
    </x:xf>
    <x:xf numFmtId="164" fontId="5" fillId="12" borderId="17" xfId="0" applyNumberFormat="1" applyFont="1" applyFill="1" applyBorder="1" applyAlignment="1">
      <x:alignment horizontal="center"/>
    </x:xf>
    <x:xf numFmtId="164" fontId="5" fillId="4" borderId="37" xfId="0" applyNumberFormat="1" applyFont="1" applyFill="1" applyBorder="1" applyAlignment="1">
      <x:alignment horizontal="center"/>
    </x:xf>
    <x:xf numFmtId="164" fontId="5" fillId="4" borderId="32" xfId="0" applyNumberFormat="1" applyFont="1" applyFill="1" applyBorder="1" applyAlignment="1">
      <x:alignment horizontal="center"/>
    </x:xf>
    <x:xf numFmtId="0" fontId="5" fillId="4" borderId="29" xfId="0" applyFont="1" applyFill="1" applyBorder="1" applyAlignment="1">
      <x:alignment horizontal="center"/>
    </x:xf>
    <x:xf numFmtId="164" fontId="5" fillId="12" borderId="10" xfId="0" applyNumberFormat="1" applyFont="1" applyFill="1" applyBorder="1" applyAlignment="1">
      <x:alignment horizontal="center"/>
    </x:xf>
    <x:xf numFmtId="164" fontId="5" fillId="12" borderId="23" xfId="0" applyNumberFormat="1" applyFont="1" applyFill="1" applyBorder="1" applyAlignment="1">
      <x:alignment horizontal="center"/>
    </x:xf>
    <x:xf numFmtId="164" fontId="5" fillId="4" borderId="27" xfId="0" applyNumberFormat="1" applyFont="1" applyFill="1" applyBorder="1" applyAlignment="1">
      <x:alignment horizontal="center"/>
    </x:xf>
    <x:xf numFmtId="164" fontId="5" fillId="4" borderId="24" xfId="0" applyNumberFormat="1" applyFont="1" applyFill="1" applyBorder="1" applyAlignment="1">
      <x:alignment horizontal="center"/>
    </x:xf>
    <x:xf numFmtId="0" fontId="5" fillId="4" borderId="30" xfId="0" applyFont="1" applyFill="1" applyBorder="1" applyAlignment="1">
      <x:alignment horizontal="center"/>
    </x:xf>
    <x:xf numFmtId="164" fontId="5" fillId="8" borderId="37" xfId="0" applyNumberFormat="1" applyFont="1" applyFill="1" applyBorder="1" applyAlignment="1">
      <x:alignment horizontal="center"/>
    </x:xf>
    <x:xf numFmtId="164" fontId="5" fillId="8" borderId="32" xfId="0" applyNumberFormat="1" applyFont="1" applyFill="1" applyBorder="1" applyAlignment="1">
      <x:alignment horizontal="center"/>
    </x:xf>
    <x:xf numFmtId="0" fontId="5" fillId="8" borderId="29" xfId="0" applyFont="1" applyFill="1" applyBorder="1" applyAlignment="1">
      <x:alignment horizontal="center"/>
    </x:xf>
    <x:xf numFmtId="164" fontId="5" fillId="8" borderId="36" xfId="0" applyNumberFormat="1" applyFont="1" applyFill="1" applyBorder="1" applyAlignment="1">
      <x:alignment horizontal="center"/>
    </x:xf>
    <x:xf numFmtId="164" fontId="5" fillId="8" borderId="38" xfId="0" applyNumberFormat="1" applyFont="1" applyFill="1" applyBorder="1" applyAlignment="1">
      <x:alignment horizontal="center"/>
    </x:xf>
    <x:xf numFmtId="0" fontId="5" fillId="8" borderId="28" xfId="0" applyFont="1" applyFill="1" applyBorder="1" applyAlignment="1">
      <x:alignment horizontal="center"/>
    </x:xf>
    <x:xf numFmtId="0" fontId="14" fillId="8" borderId="23" xfId="1" applyFill="1" applyBorder="1"/>
    <x:xf numFmtId="0" fontId="14" fillId="8" borderId="24" xfId="1" applyFill="1" applyBorder="1"/>
    <x:xf numFmtId="0" fontId="14" fillId="8" borderId="25" xfId="1" applyFill="1" applyBorder="1"/>
    <x:xf numFmtId="0" fontId="14" fillId="9" borderId="23" xfId="1" applyFill="1" applyBorder="1"/>
    <x:xf numFmtId="0" fontId="14" fillId="9" borderId="24" xfId="1" applyFill="1" applyBorder="1"/>
    <x:xf numFmtId="0" fontId="14" fillId="9" borderId="25" xfId="1" applyFill="1" applyBorder="1"/>
    <x:xf numFmtId="0" fontId="10" fillId="11" borderId="8" xfId="0" applyFont="1" applyFill="1" applyBorder="1"/>
    <x:xf numFmtId="164" fontId="5" fillId="11" borderId="36" xfId="0" applyNumberFormat="1" applyFont="1" applyFill="1" applyBorder="1" applyAlignment="1">
      <x:alignment horizontal="center"/>
    </x:xf>
    <x:xf numFmtId="164" fontId="5" fillId="11" borderId="38" xfId="0" applyNumberFormat="1" applyFont="1" applyFill="1" applyBorder="1" applyAlignment="1">
      <x:alignment horizontal="center"/>
    </x:xf>
    <x:xf numFmtId="0" fontId="5" fillId="11" borderId="28" xfId="0" applyFont="1" applyFill="1" applyBorder="1" applyAlignment="1">
      <x:alignment horizontal="center"/>
    </x:xf>
    <x:xf numFmtId="0" fontId="0" fillId="10" borderId="40" xfId="0" applyFill="1" applyBorder="1" applyAlignment="1">
      <x:alignment horizontal="left"/>
    </x:xf>
    <x:xf numFmtId="0" fontId="0" fillId="10" borderId="2" xfId="0" applyFill="1" applyBorder="1" applyAlignment="1">
      <x:alignment horizontal="left"/>
    </x:xf>
    <x:xf numFmtId="0" fontId="0" fillId="10" borderId="41" xfId="0" applyFill="1" applyBorder="1" applyAlignment="1">
      <x:alignment horizontal="left"/>
    </x:xf>
    <x:xf numFmtId="0" fontId="0" fillId="0" borderId="40" xfId="0" applyBorder="1" applyAlignment="1">
      <x:alignment horizontal="left"/>
    </x:xf>
    <x:xf numFmtId="0" fontId="0" fillId="0" borderId="2" xfId="0" applyBorder="1" applyAlignment="1">
      <x:alignment horizontal="left"/>
    </x:xf>
    <x:xf numFmtId="0" fontId="0" fillId="0" borderId="41" xfId="0" applyBorder="1" applyAlignment="1">
      <x:alignment horizontal="left"/>
    </x:xf>
    <x:xf numFmtId="164" fontId="5" fillId="0" borderId="40" xfId="0" applyNumberFormat="1" applyFont="1" applyBorder="1" applyAlignment="1">
      <x:alignment horizontal="center"/>
    </x:xf>
    <x:xf numFmtId="0" fontId="5" fillId="0" borderId="41" xfId="0" applyFont="1" applyBorder="1" applyAlignment="1">
      <x:alignment horizontal="center"/>
    </x:xf>
    <x:xf numFmtId="164" fontId="7" fillId="0" borderId="40" xfId="0" applyNumberFormat="1" applyFont="1" applyBorder="1" applyAlignment="1">
      <x:alignment horizontal="center"/>
    </x:xf>
    <x:xf numFmtId="0" fontId="7" fillId="0" borderId="41" xfId="0" applyFont="1" applyBorder="1" applyAlignment="1">
      <x:alignment horizontal="center"/>
    </x:xf>
    <x:xf numFmtId="164" fontId="5" fillId="12" borderId="40" xfId="0" applyNumberFormat="1" applyFont="1" applyFill="1" applyBorder="1" applyAlignment="1">
      <x:alignment horizontal="center"/>
    </x:xf>
    <x:xf numFmtId="164" fontId="5" fillId="10" borderId="1" xfId="0" applyNumberFormat="1" applyFont="1" applyFill="1" applyBorder="1" applyAlignment="1">
      <x:alignment horizontal="center"/>
    </x:xf>
    <x:xf numFmtId="0" fontId="5" fillId="10" borderId="2" xfId="0" applyFont="1" applyFill="1" applyBorder="1" applyAlignment="1">
      <x:alignment horizontal="center"/>
    </x:xf>
    <x:xf numFmtId="0" fontId="5" fillId="10" borderId="3" xfId="0" applyFont="1" applyFill="1" applyBorder="1" applyAlignment="1">
      <x:alignment horizontal="center"/>
    </x:xf>
    <x:xf numFmtId="0" fontId="0" fillId="5" borderId="10" xfId="0" applyFill="1" applyBorder="1"/>
    <x:xf numFmtId="164" fontId="5" fillId="6" borderId="27" xfId="0" applyNumberFormat="1" applyFont="1" applyFill="1" applyBorder="1" applyAlignment="1">
      <x:alignment horizontal="center"/>
    </x:xf>
    <x:xf numFmtId="164" fontId="5" fillId="6" borderId="24" xfId="0" applyNumberFormat="1" applyFont="1" applyFill="1" applyBorder="1" applyAlignment="1">
      <x:alignment horizontal="center"/>
    </x:xf>
    <x:xf numFmtId="0" fontId="5" fillId="6" borderId="30" xfId="0" applyFont="1" applyFill="1" applyBorder="1" applyAlignment="1">
      <x:alignment horizontal="center"/>
    </x:xf>
    <x:xf numFmtId="0" fontId="0" fillId="5" borderId="8" xfId="0" applyFill="1" applyBorder="1"/>
    <x:xf numFmtId="0" fontId="0" fillId="11" borderId="10" xfId="0" applyFill="1" applyBorder="1"/>
    <x:xf numFmtId="164" fontId="7" fillId="0" borderId="10" xfId="0" applyNumberFormat="1" applyFont="1" applyBorder="1" applyAlignment="1">
      <x:alignment horizontal="center"/>
    </x:xf>
    <x:xf numFmtId="164" fontId="5" fillId="11" borderId="27" xfId="0" applyNumberFormat="1" applyFont="1" applyFill="1" applyBorder="1" applyAlignment="1">
      <x:alignment horizontal="center"/>
    </x:xf>
    <x:xf numFmtId="164" fontId="5" fillId="11" borderId="24" xfId="0" applyNumberFormat="1" applyFont="1" applyFill="1" applyBorder="1" applyAlignment="1">
      <x:alignment horizontal="center"/>
    </x:xf>
    <x:xf numFmtId="0" fontId="5" fillId="11" borderId="30" xfId="0" applyFont="1" applyFill="1" applyBorder="1" applyAlignment="1">
      <x:alignment horizontal="center"/>
    </x:xf>
    <x:xf numFmtId="164" fontId="5" fillId="7" borderId="1" xfId="0" applyNumberFormat="1" applyFont="1" applyFill="1" applyBorder="1" applyAlignment="1">
      <x:alignment horizontal="center"/>
    </x:xf>
    <x:xf numFmtId="164" fontId="5" fillId="7" borderId="2" xfId="0" applyNumberFormat="1" applyFont="1" applyFill="1" applyBorder="1" applyAlignment="1">
      <x:alignment horizontal="center"/>
    </x:xf>
    <x:xf numFmtId="164" fontId="5" fillId="7" borderId="3" xfId="0" applyNumberFormat="1" applyFont="1" applyFill="1" applyBorder="1" applyAlignment="1">
      <x:alignment horizontal="center"/>
    </x:xf>
    <x:xf numFmtId="164" fontId="7" fillId="0" borderId="1" xfId="0" applyNumberFormat="1" applyFont="1" applyBorder="1" applyAlignment="1">
      <x:alignment horizontal="center" vertical="center"/>
    </x:xf>
    <x:xf numFmtId="164" fontId="7" fillId="0" borderId="2" xfId="0" applyNumberFormat="1" applyFont="1" applyBorder="1" applyAlignment="1">
      <x:alignment horizontal="center" vertical="center"/>
    </x:xf>
    <x:xf numFmtId="164" fontId="5" fillId="6" borderId="36" xfId="0" applyNumberFormat="1" applyFont="1" applyFill="1" applyBorder="1" applyAlignment="1">
      <x:alignment horizontal="center"/>
    </x:xf>
    <x:xf numFmtId="164" fontId="5" fillId="6" borderId="38" xfId="0" applyNumberFormat="1" applyFont="1" applyFill="1" applyBorder="1" applyAlignment="1">
      <x:alignment horizontal="center"/>
    </x:xf>
    <x:xf numFmtId="0" fontId="5" fillId="6" borderId="28" xfId="0" applyFont="1" applyFill="1" applyBorder="1" applyAlignment="1">
      <x:alignment horizontal="center"/>
    </x:xf>
    <x:xf numFmtId="164" fontId="5" fillId="8" borderId="27" xfId="0" applyNumberFormat="1" applyFont="1" applyFill="1" applyBorder="1" applyAlignment="1">
      <x:alignment horizontal="center"/>
    </x:xf>
    <x:xf numFmtId="164" fontId="5" fillId="8" borderId="24" xfId="0" applyNumberFormat="1" applyFont="1" applyFill="1" applyBorder="1" applyAlignment="1">
      <x:alignment horizontal="center"/>
    </x:xf>
    <x:xf numFmtId="0" fontId="5" fillId="8" borderId="30" xfId="0" applyFont="1" applyFill="1" applyBorder="1" applyAlignment="1">
      <x:alignment horizontal="center"/>
    </x:xf>
    <x:xf numFmtId="0" fontId="14" fillId="4" borderId="47" xfId="1" applyFill="1" applyBorder="1"/>
    <x:xf numFmtId="0" fontId="14" fillId="4" borderId="48" xfId="1" applyFill="1" applyBorder="1"/>
    <x:xf numFmtId="0" fontId="14" fillId="4" borderId="49" xfId="1" applyFill="1" applyBorder="1"/>
    <x:xf numFmtId="0" fontId="14" fillId="4" borderId="17" xfId="1" applyFill="1" applyBorder="1"/>
    <x:xf numFmtId="0" fontId="14" fillId="4" borderId="32" xfId="1" applyFill="1" applyBorder="1"/>
    <x:xf numFmtId="0" fontId="14" fillId="4" borderId="18" xfId="1" applyFill="1" applyBorder="1"/>
    <x:xf numFmtId="0" fontId="14" fillId="4" borderId="23" xfId="1" applyFill="1" applyBorder="1"/>
    <x:xf numFmtId="0" fontId="14" fillId="4" borderId="24" xfId="1" applyFill="1" applyBorder="1"/>
    <x:xf numFmtId="0" fontId="14" fillId="4" borderId="25" xfId="1" applyFill="1" applyBorder="1"/>
    <x:xf numFmtId="0" fontId="14" fillId="8" borderId="47" xfId="1" applyFill="1" applyBorder="1"/>
    <x:xf numFmtId="0" fontId="14" fillId="8" borderId="48" xfId="1" applyFill="1" applyBorder="1"/>
    <x:xf numFmtId="0" fontId="14" fillId="8" borderId="49" xfId="1" applyFill="1" applyBorder="1"/>
    <x:xf numFmtId="0" fontId="14" fillId="8" borderId="17" xfId="1" applyFill="1" applyBorder="1"/>
    <x:xf numFmtId="0" fontId="14" fillId="8" borderId="32" xfId="1" applyFill="1" applyBorder="1"/>
    <x:xf numFmtId="0" fontId="14" fillId="8" borderId="18" xfId="1" applyFill="1" applyBorder="1"/>
    <x:xf numFmtId="0" fontId="14" fillId="9" borderId="47" xfId="1" applyFill="1" applyBorder="1"/>
    <x:xf numFmtId="0" fontId="14" fillId="9" borderId="48" xfId="1" applyFill="1" applyBorder="1"/>
    <x:xf numFmtId="0" fontId="14" fillId="9" borderId="49" xfId="1" applyFill="1" applyBorder="1"/>
    <x:xf numFmtId="0" fontId="14" fillId="9" borderId="17" xfId="1" applyFill="1" applyBorder="1"/>
    <x:xf numFmtId="0" fontId="14" fillId="9" borderId="32" xfId="1" applyFill="1" applyBorder="1"/>
    <x:xf numFmtId="0" fontId="14" fillId="9" borderId="18" xfId="1" applyFill="1" applyBorder="1"/>
    <x:xf numFmtId="0" fontId="14" fillId="9" borderId="0" xfId="1" applyFill="1"/>
    <x:xf numFmtId="0" fontId="20" fillId="12" borderId="1" xfId="0" applyFont="1" applyFill="1" applyBorder="1" applyAlignment="1">
      <x:alignment horizontal="center"/>
    </x:xf>
    <x:xf numFmtId="0" fontId="20" fillId="12" borderId="2" xfId="0" applyFont="1" applyFill="1" applyBorder="1" applyAlignment="1">
      <x:alignment horizontal="center"/>
    </x:xf>
    <x:xf numFmtId="0" fontId="20" fillId="12" borderId="3" xfId="0" applyFont="1" applyFill="1" applyBorder="1" applyAlignment="1">
      <x:alignment horizontal="center"/>
    </x:xf>
    <x:xf numFmtId="0" fontId="12" fillId="14" borderId="1" xfId="0" applyFont="1" applyFill="1" applyBorder="1" applyAlignment="1">
      <x:alignment horizontal="center"/>
    </x:xf>
    <x:xf numFmtId="0" fontId="12" fillId="14" borderId="2" xfId="0" applyFont="1" applyFill="1" applyBorder="1" applyAlignment="1">
      <x:alignment horizontal="center"/>
    </x:xf>
    <x:xf numFmtId="0" fontId="12" fillId="14" borderId="3" xfId="0" applyFont="1" applyFill="1" applyBorder="1" applyAlignment="1">
      <x:alignment horizontal="center"/>
    </x:xf>
    <x:xf numFmtId="164" fontId="5" fillId="0" borderId="8" xfId="0" applyNumberFormat="1" applyFont="1" applyBorder="1" applyAlignment="1">
      <x:alignment horizontal="center"/>
    </x:xf>
    <x:xf numFmtId="164" fontId="5" fillId="0" borderId="2" xfId="0" applyNumberFormat="1" applyFont="1" applyBorder="1" applyAlignment="1">
      <x:alignment horizontal="center"/>
    </x:xf>
    <x:xf numFmtId="164" fontId="5" fillId="0" borderId="10" xfId="0" applyNumberFormat="1" applyFont="1" applyBorder="1" applyAlignment="1">
      <x:alignment horizontal="center"/>
    </x:xf>
    <x:xf numFmtId="164" fontId="5" fillId="0" borderId="5" xfId="0" applyNumberFormat="1" applyFont="1" applyBorder="1" applyAlignment="1">
      <x:alignment horizontal="center"/>
    </x:xf>
    <x:xf numFmtId="164" fontId="7" fillId="0" borderId="20" xfId="0" applyNumberFormat="1" applyFont="1" applyBorder="1" applyAlignment="1">
      <x:alignment horizontal="center"/>
    </x:xf>
    <x:xf numFmtId="0" fontId="7" fillId="10" borderId="15" xfId="0" applyFont="1" applyFill="1" applyBorder="1" applyAlignment="1">
      <x:alignment horizontal="center" vertical="center"/>
    </x:xf>
    <x:xf numFmtId="0" fontId="7" fillId="10" borderId="31" xfId="0" applyFont="1" applyFill="1" applyBorder="1" applyAlignment="1">
      <x:alignment horizontal="center" vertical="center"/>
    </x:xf>
    <x:xf numFmtId="0" fontId="7" fillId="10" borderId="16" xfId="0" applyFont="1" applyFill="1" applyBorder="1" applyAlignment="1">
      <x:alignment horizontal="center" vertical="center"/>
    </x:xf>
    <x:xf numFmtId="0" fontId="7" fillId="10" borderId="13" xfId="0" applyFont="1" applyFill="1" applyBorder="1" applyAlignment="1">
      <x:alignment horizontal="center" vertical="center"/>
    </x:xf>
    <x:xf numFmtId="0" fontId="7" fillId="10" borderId="26" xfId="0" applyFont="1" applyFill="1" applyBorder="1" applyAlignment="1">
      <x:alignment horizontal="center" vertical="center"/>
    </x:xf>
    <x:xf numFmtId="0" fontId="7" fillId="10" borderId="14" xfId="0" applyFont="1" applyFill="1" applyBorder="1" applyAlignment="1">
      <x:alignment horizontal="center" vertical="center"/>
    </x:xf>
    <x:xf numFmtId="0" fontId="4" fillId="12" borderId="1" xfId="0" applyFont="1" applyFill="1" applyBorder="1" applyAlignment="1">
      <x:alignment horizontal="center" vertical="center"/>
    </x:xf>
    <x:xf numFmtId="0" fontId="4" fillId="12" borderId="2" xfId="0" applyFont="1" applyFill="1" applyBorder="1" applyAlignment="1">
      <x:alignment horizontal="center" vertical="center"/>
    </x:xf>
    <x:xf numFmtId="0" fontId="4" fillId="12" borderId="3" xfId="0" applyFont="1" applyFill="1" applyBorder="1" applyAlignment="1">
      <x:alignment horizontal="center" vertical="center"/>
    </x:xf>
    <x:xf numFmtId="0" fontId="17" fillId="2" borderId="4" xfId="0" applyFont="1" applyFill="1" applyBorder="1" applyAlignment="1">
      <x:alignment horizontal="center" vertical="center"/>
    </x:xf>
    <x:xf numFmtId="0" fontId="17" fillId="2" borderId="0" xfId="0" applyFont="1" applyFill="1" applyAlignment="1">
      <x:alignment horizontal="center" vertical="center"/>
    </x:xf>
    <x:xf numFmtId="0" fontId="17" fillId="2" borderId="19" xfId="0" applyFont="1" applyFill="1" applyBorder="1" applyAlignment="1">
      <x:alignment horizontal="center" vertical="center"/>
    </x:xf>
    <x:xf numFmtId="164" fontId="4" fillId="10" borderId="13" xfId="0" applyNumberFormat="1" applyFont="1" applyFill="1" applyBorder="1" applyAlignment="1">
      <x:alignment horizontal="center" vertical="center"/>
    </x:xf>
    <x:xf numFmtId="164" fontId="4" fillId="10" borderId="26" xfId="0" applyNumberFormat="1" applyFont="1" applyFill="1" applyBorder="1" applyAlignment="1">
      <x:alignment horizontal="center" vertical="center"/>
    </x:xf>
    <x:xf numFmtId="164" fontId="4" fillId="10" borderId="14" xfId="0" applyNumberFormat="1" applyFont="1" applyFill="1" applyBorder="1" applyAlignment="1">
      <x:alignment horizontal="center" vertical="center"/>
    </x:xf>
    <x:xf numFmtId="0" fontId="0" fillId="0" borderId="43" xfId="0" applyBorder="1" applyAlignment="1">
      <x:alignment horizontal="center" vertical="center"/>
    </x:xf>
    <x:xf numFmtId="0" fontId="0" fillId="0" borderId="39" xfId="0" applyBorder="1" applyAlignment="1">
      <x:alignment horizontal="center" vertical="center"/>
    </x:xf>
    <x:xf numFmtId="0" fontId="0" fillId="9" borderId="5" xfId="0" applyFill="1" applyBorder="1"/>
    <x:xf numFmtId="170" fontId="0" fillId="0" borderId="43" xfId="0" applyNumberFormat="1" applyBorder="1" applyAlignment="1">
      <x:alignment horizontal="center" vertical="center"/>
    </x:xf>
    <x:xf numFmtId="170" fontId="0" fillId="0" borderId="39" xfId="0" applyNumberFormat="1" applyBorder="1" applyAlignment="1">
      <x:alignment horizontal="center" vertical="center"/>
    </x:xf>
    <x:xf numFmtId="0" fontId="0" fillId="0" borderId="15" xfId="0" applyBorder="1" applyAlignment="1">
      <x:alignment horizontal="center" vertical="center"/>
    </x:xf>
    <x:xf numFmtId="0" fontId="0" fillId="0" borderId="31" xfId="0" applyBorder="1" applyAlignment="1">
      <x:alignment horizontal="center" vertical="center"/>
    </x:xf>
    <x:xf numFmtId="0" fontId="0" fillId="0" borderId="16" xfId="0" applyBorder="1" applyAlignment="1">
      <x:alignment horizontal="center" vertical="center"/>
    </x:xf>
    <x:xf numFmtId="0" fontId="0" fillId="0" borderId="4" xfId="0" applyBorder="1" applyAlignment="1">
      <x:alignment horizontal="center" vertical="center"/>
    </x:xf>
    <x:xf numFmtId="0" fontId="0" fillId="0" borderId="0" xfId="0" applyAlignment="1">
      <x:alignment horizontal="center" vertical="center"/>
    </x:xf>
    <x:xf numFmtId="0" fontId="0" fillId="0" borderId="19" xfId="0" applyBorder="1" applyAlignment="1">
      <x:alignment horizontal="center" vertical="center"/>
    </x:xf>
    <x:xf numFmtId="14" fontId="12" fillId="12" borderId="1" xfId="0" applyNumberFormat="1" applyFont="1" applyFill="1" applyBorder="1" applyAlignment="1">
      <x:alignment horizontal="center" vertical="center"/>
    </x:xf>
    <x:xf numFmtId="14" fontId="12" fillId="12" borderId="2" xfId="0" applyNumberFormat="1" applyFont="1" applyFill="1" applyBorder="1" applyAlignment="1">
      <x:alignment horizontal="center" vertical="center"/>
    </x:xf>
    <x:xf numFmtId="14" fontId="12" fillId="12" borderId="3" xfId="0" applyNumberFormat="1" applyFont="1" applyFill="1" applyBorder="1" applyAlignment="1">
      <x:alignment horizontal="center" vertical="center"/>
    </x:xf>
    <x:xf numFmtId="0" fontId="12" fillId="0" borderId="1" xfId="0" applyFont="1" applyBorder="1" applyAlignment="1">
      <x:alignment horizontal="center" vertical="center"/>
    </x:xf>
    <x:xf numFmtId="0" fontId="12" fillId="0" borderId="3" xfId="0" applyFont="1" applyBorder="1" applyAlignment="1">
      <x:alignment horizontal="center" vertical="center"/>
    </x:xf>
    <x:xf numFmtId="0" fontId="0" fillId="12" borderId="43" xfId="0" applyFill="1" applyBorder="1" applyAlignment="1">
      <x:alignment horizontal="center" vertical="center"/>
    </x:xf>
    <x:xf numFmtId="0" fontId="0" fillId="12" borderId="39" xfId="0" applyFill="1" applyBorder="1" applyAlignment="1">
      <x:alignment horizontal="center" vertical="center"/>
    </x:xf>
    <x:xf numFmtId="0" fontId="16" fillId="0" borderId="1" xfId="1" applyFont="1" applyBorder="1" applyAlignment="1">
      <x:alignment horizontal="center"/>
    </x:xf>
    <x:xf numFmtId="0" fontId="15" fillId="0" borderId="2" xfId="0" applyFont="1" applyBorder="1" applyAlignment="1">
      <x:alignment horizontal="center"/>
    </x:xf>
    <x:xf numFmtId="0" fontId="15" fillId="0" borderId="3" xfId="0" applyFont="1" applyBorder="1" applyAlignment="1">
      <x:alignment horizontal="center"/>
    </x:xf>
    <x:xf numFmtId="0" fontId="15" fillId="0" borderId="1" xfId="0" applyFont="1" applyBorder="1" applyAlignment="1">
      <x:alignment horizontal="center" vertical="center"/>
    </x:xf>
    <x:xf numFmtId="0" fontId="15" fillId="0" borderId="2" xfId="0" applyFont="1" applyBorder="1" applyAlignment="1">
      <x:alignment horizontal="center" vertical="center"/>
    </x:xf>
    <x:xf numFmtId="0" fontId="15" fillId="0" borderId="3" xfId="0" applyFont="1" applyBorder="1" applyAlignment="1">
      <x:alignment horizontal="center" vertical="center"/>
    </x:xf>
    <x:xf numFmtId="0" fontId="0" fillId="0" borderId="44" xfId="0" applyBorder="1" applyAlignment="1">
      <x:alignment horizontal="center" vertical="center"/>
    </x:xf>
    <x:xf numFmtId="0" fontId="12" fillId="0" borderId="1" xfId="0" applyFont="1" applyBorder="1" applyAlignment="1">
      <x:alignment horizontal="center"/>
    </x:xf>
    <x:xf numFmtId="0" fontId="12" fillId="0" borderId="3" xfId="0" applyFont="1" applyBorder="1" applyAlignment="1">
      <x:alignment horizontal="center"/>
    </x:xf>
    <x:xf numFmtId="14" fontId="12" fillId="12" borderId="1" xfId="0" applyNumberFormat="1" applyFont="1" applyFill="1" applyBorder="1" applyAlignment="1">
      <x:alignment horizontal="center"/>
    </x:xf>
    <x:xf numFmtId="14" fontId="12" fillId="12" borderId="2" xfId="0" applyNumberFormat="1" applyFont="1" applyFill="1" applyBorder="1" applyAlignment="1">
      <x:alignment horizontal="center"/>
    </x:xf>
    <x:xf numFmtId="14" fontId="12" fillId="12" borderId="3" xfId="0" applyNumberFormat="1" applyFont="1" applyFill="1" applyBorder="1" applyAlignment="1">
      <x:alignment horizontal="center"/>
    </x:xf>
    <x:xf numFmtId="0" fontId="0" fillId="0" borderId="13" xfId="0" applyBorder="1" applyAlignment="1">
      <x:alignment horizontal="center" vertical="center"/>
    </x:xf>
    <x:xf numFmtId="0" fontId="0" fillId="0" borderId="26" xfId="0" applyBorder="1" applyAlignment="1">
      <x:alignment horizontal="center" vertical="center"/>
    </x:xf>
    <x:xf numFmtId="0" fontId="0" fillId="0" borderId="14" xfId="0" applyBorder="1" applyAlignment="1">
      <x:alignment horizontal="center" vertical="center"/>
    </x:xf>
    <x:xf numFmtId="0" fontId="0" fillId="20" borderId="0" xfId="0" applyNumberFormat="1" applyFont="1" applyFill="1" applyBorder="1"/>
    <x:xf numFmtId="0" fontId="22" fillId="20" borderId="0" xfId="0" applyNumberFormat="1" applyFont="1" applyFill="1" applyBorder="1"/>
    <x:xf numFmtId="0" fontId="22" fillId="20" borderId="0" xfId="0" applyNumberFormat="1" applyFont="1" applyFill="1" applyBorder="1" applyAlignment="1">
      <x:alignment wrapText="1"/>
    </x:xf>
    <x:xf numFmtId="169" fontId="0" fillId="0" borderId="0" xfId="0" applyNumberFormat="1" applyFont="1" applyFill="1" applyBorder="1"/>
    <x:xf numFmtId="200" fontId="0" fillId="0" borderId="0" xfId="0" applyNumberFormat="1" applyFont="1" applyFill="1" applyBorder="1"/>
    <x:xf numFmtId="0" fontId="22" fillId="20" borderId="50" xfId="0" applyNumberFormat="1" applyFont="1" applyFill="1" applyBorder="1" applyAlignment="1">
      <x:alignment wrapText="1"/>
    </x:xf>
    <x:xf numFmtId="0" fontId="22" fillId="20" borderId="51" xfId="0" applyNumberFormat="1" applyFont="1" applyFill="1" applyBorder="1" applyAlignment="1">
      <x:alignment wrapText="1"/>
    </x:xf>
    <x:xf numFmtId="0" fontId="22" fillId="20" borderId="52" xfId="0" applyNumberFormat="1" applyFont="1" applyFill="1" applyBorder="1" applyAlignment="1">
      <x:alignment wrapText="1"/>
    </x:xf>
    <x:xf numFmtId="0" fontId="0" fillId="0" borderId="53" xfId="0" applyNumberFormat="1" applyFont="1" applyFill="1" applyBorder="1"/>
    <x:xf numFmtId="0" fontId="0" fillId="0" borderId="0" xfId="0" applyNumberFormat="1" applyFont="1" applyFill="1" applyBorder="1"/>
    <x:xf numFmtId="0" fontId="0" fillId="0" borderId="54" xfId="0" applyNumberFormat="1" applyFont="1" applyFill="1" applyBorder="1"/>
    <x:xf numFmtId="0" fontId="0" fillId="0" borderId="55" xfId="0" applyNumberFormat="1" applyFont="1" applyFill="1" applyBorder="1"/>
    <x:xf numFmtId="0" fontId="0" fillId="0" borderId="56" xfId="0" applyNumberFormat="1" applyFont="1" applyFill="1" applyBorder="1"/>
    <x:xf numFmtId="169" fontId="0" fillId="0" borderId="56" xfId="0" applyNumberFormat="1" applyFont="1" applyFill="1" applyBorder="1"/>
    <x:xf numFmtId="200" fontId="0" fillId="0" borderId="56" xfId="0" applyNumberFormat="1" applyFont="1" applyFill="1" applyBorder="1"/>
    <x:xf numFmtId="0" fontId="0" fillId="0" borderId="57" xfId="0" applyNumberFormat="1" applyFont="1" applyFill="1" applyBorder="1"/>
    <x:xf numFmtId="166" fontId="23" fillId="12" borderId="28" xfId="0" applyNumberFormat="1" applyFont="1" applyFill="1" applyBorder="1"/>
    <x:xf numFmtId="168" fontId="23" fillId="12" borderId="36" xfId="0" applyNumberFormat="1" applyFont="1" applyFill="1" applyBorder="1"/>
    <x:xf numFmtId="166" fontId="23" fillId="12" borderId="29" xfId="0" applyNumberFormat="1" applyFont="1" applyFill="1" applyBorder="1"/>
    <x:xf numFmtId="168" fontId="23" fillId="12" borderId="37" xfId="0" applyNumberFormat="1" applyFont="1" applyFill="1" applyBorder="1"/>
    <x:xf numFmtId="166" fontId="23" fillId="12" borderId="30" xfId="0" applyNumberFormat="1" applyFont="1" applyFill="1" applyBorder="1"/>
    <x:xf numFmtId="168" fontId="23" fillId="12" borderId="27" xfId="0" applyNumberFormat="1" applyFont="1" applyFill="1" applyBorder="1"/>
    <x:xf numFmtId="166" fontId="23" fillId="0" borderId="8" xfId="0" applyNumberFormat="1" applyFont="1" applyFill="1" applyBorder="1"/>
    <x:xf numFmtId="169" fontId="23" fillId="0" borderId="8" xfId="0" applyNumberFormat="1" applyFont="1" applyFill="1" applyBorder="1"/>
    <x:xf numFmtId="166" fontId="23" fillId="0" borderId="5" xfId="0" applyNumberFormat="1" applyFont="1" applyFill="1" applyBorder="1"/>
    <x:xf numFmtId="169" fontId="23" fillId="0" borderId="5" xfId="0" applyNumberFormat="1" applyFont="1" applyFill="1" applyBorder="1"/>
    <x:xf numFmtId="166" fontId="23" fillId="0" borderId="10" xfId="0" applyNumberFormat="1" applyFont="1" applyFill="1" applyBorder="1"/>
    <x:xf numFmtId="169" fontId="23" fillId="0" borderId="10" xfId="0" applyNumberFormat="1" applyFont="1" applyFill="1" applyBorder="1"/>
    <x:xf numFmtId="166" fontId="23" fillId="0" borderId="46" xfId="0" applyNumberFormat="1" applyFont="1" applyFill="1" applyBorder="1"/>
    <x:xf numFmtId="2" fontId="23" fillId="0" borderId="46" xfId="0" applyNumberFormat="1" applyFont="1" applyFill="1" applyBorder="1"/>
    <x:xf numFmtId="2" fontId="23" fillId="0" borderId="5" xfId="0" applyNumberFormat="1" applyFont="1" applyFill="1" applyBorder="1"/>
    <x:xf numFmtId="2" fontId="23" fillId="0" borderId="10" xfId="0" applyNumberFormat="1" applyFont="1" applyFill="1" applyBorder="1"/>
  </x:cellXfs>
  <x:cellStyles count="2">
    <x:cellStyle name="Link" xfId="1"/>
    <x:cellStyle name="Standard" xfId="0"/>
  </x:cellStyle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18dcaf8b52d740d6" /><ns0:Relationship Type="http://schemas.openxmlformats.org/officeDocument/2006/relationships/theme" Target="/xl/theme/theme1.xml" Id="R66832b3c93394a96" /><ns0:Relationship Type="http://schemas.openxmlformats.org/officeDocument/2006/relationships/sharedStrings" Target="/xl/sharedStrings.xml" Id="R4cc27bb011cf44b9" /><ns0:Relationship Type="http://schemas.openxmlformats.org/officeDocument/2006/relationships/worksheet" Target="/xl/worksheets/sheet1.xml" Id="R71c1e8da96e64b79" /><ns0:Relationship Type="http://schemas.openxmlformats.org/officeDocument/2006/relationships/worksheet" Target="/xl/worksheets/sheet2.xml" Id="Rd7f5160e5c47446f" /><ns0:Relationship Type="http://schemas.openxmlformats.org/officeDocument/2006/relationships/worksheet" Target="/xl/worksheets/sheet3.xml" Id="R865628d909614d10" /><ns0:Relationship Type="http://schemas.openxmlformats.org/officeDocument/2006/relationships/worksheet" Target="/xl/worksheets/sheet4.xml" Id="Re62d583a3ab44691" /><ns0:Relationship Type="http://schemas.openxmlformats.org/officeDocument/2006/relationships/worksheet" Target="/xl/worksheets/sheet5.xml" Id="Rbd7784d062444c3b" /><ns0:Relationship Type="http://schemas.openxmlformats.org/officeDocument/2006/relationships/worksheet" Target="/xl/worksheets/sheet6.xml" Id="Rf5e3b6e5bebf480f" /><ns0:Relationship Id="rId1" Type="http://schemas.openxmlformats.org/officeDocument/2006/relationships/connections" Target="connections.xml" /><ns0:Relationship Id="rId2" Type="http://schemas.microsoft.com/office/2006/relationships/vbaProject" Target="vbaProject.bin" /></ns0:Relationships>
</file>

<file path=xl/drawings/drawing1.xml><?xml version="1.0" encoding="utf-8"?>
<xdr:wsDr xmlns:xdr="http://schemas.openxmlformats.org/drawingml/2006/spreadsheetDrawing">
  <xdr:twoCellAnchor editAs="oneCell">
    <xdr:from>
      <xdr:col>10</xdr:col>
      <xdr:colOff>297656</xdr:colOff>
      <xdr:row>9</xdr:row>
      <xdr:rowOff>11906</xdr:rowOff>
    </xdr:from>
    <xdr:to>
      <xdr:col>10</xdr:col>
      <xdr:colOff>297657</xdr:colOff>
      <xdr:row>10</xdr:row>
      <xdr:rowOff>238125</xdr:rowOff>
    </xdr:to>
    <xdr:sp>
      <xdr:nvSpPr>
        <xdr:cNvPr id="1" name="Gerade Verbindung mit Pfeil 21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6203156" y="2619375"/>
          <a:ext cx="1" cy="53578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4</xdr:col>
      <xdr:colOff>107156</xdr:colOff>
      <xdr:row>9</xdr:row>
      <xdr:rowOff>154781</xdr:rowOff>
    </xdr:from>
    <xdr:to>
      <xdr:col>22</xdr:col>
      <xdr:colOff>785813</xdr:colOff>
      <xdr:row>9</xdr:row>
      <xdr:rowOff>178593</xdr:rowOff>
    </xdr:to>
    <xdr:sp>
      <xdr:nvSpPr>
        <xdr:cNvPr id="2" name="Gerader Verbinder 22"/>
        <xdr:cNvSpPr>
          <a:spLocks xmlns:a="http://schemas.openxmlformats.org/drawingml/2006/main" noGrp="1"/>
        </xdr:cNvSpPr>
      </xdr:nvSpPr>
      <xdr:spPr>
        <a:xfrm xmlns:a="http://schemas.openxmlformats.org/drawingml/2006/main" flipV="1">
          <a:off x="2286476" y="2577941"/>
          <a:ext cx="12466797" cy="2381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CCA432"/>
          </a:solidFill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16</xdr:col>
      <xdr:colOff>309562</xdr:colOff>
      <xdr:row>9</xdr:row>
      <xdr:rowOff>178595</xdr:rowOff>
    </xdr:from>
    <xdr:to>
      <xdr:col>16</xdr:col>
      <xdr:colOff>309563</xdr:colOff>
      <xdr:row>10</xdr:row>
      <xdr:rowOff>238125</xdr:rowOff>
    </xdr:to>
    <xdr:sp>
      <xdr:nvSpPr>
        <xdr:cNvPr id="3" name="Gerade Verbindung mit Pfeil 23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10108406" y="2786064"/>
          <a:ext cx="1" cy="36909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4</xdr:col>
      <xdr:colOff>119062</xdr:colOff>
      <xdr:row>9</xdr:row>
      <xdr:rowOff>190501</xdr:rowOff>
    </xdr:from>
    <xdr:to>
      <xdr:col>4</xdr:col>
      <xdr:colOff>119063</xdr:colOff>
      <xdr:row>10</xdr:row>
      <xdr:rowOff>226219</xdr:rowOff>
    </xdr:to>
    <xdr:sp>
      <xdr:nvSpPr>
        <xdr:cNvPr id="4" name="Gerade Verbindung mit Pfeil 24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2095500" y="2797970"/>
          <a:ext cx="1" cy="34528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22</xdr:col>
      <xdr:colOff>785812</xdr:colOff>
      <xdr:row>9</xdr:row>
      <xdr:rowOff>142874</xdr:rowOff>
    </xdr:from>
    <xdr:to>
      <xdr:col>22</xdr:col>
      <xdr:colOff>785813</xdr:colOff>
      <xdr:row>10</xdr:row>
      <xdr:rowOff>226219</xdr:rowOff>
    </xdr:to>
    <xdr:sp>
      <xdr:nvSpPr>
        <xdr:cNvPr id="5" name="Gerade Verbindung mit Pfeil 25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13442156" y="2750343"/>
          <a:ext cx="1" cy="39290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28</xdr:col>
      <xdr:colOff>620485</xdr:colOff>
      <xdr:row>9</xdr:row>
      <xdr:rowOff>87085</xdr:rowOff>
    </xdr:from>
    <xdr:to>
      <xdr:col>28</xdr:col>
      <xdr:colOff>620486</xdr:colOff>
      <xdr:row>13</xdr:row>
      <xdr:rowOff>239485</xdr:rowOff>
    </xdr:to>
    <xdr:sp>
      <xdr:nvSpPr>
        <xdr:cNvPr id="6" name="Gerade Verbindung mit Pfeil 26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16889185" y="2510245"/>
          <a:ext cx="1" cy="92202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25400" cap="flat">
          <a:solidFill>
            <a:srgbClr val="CCA432"/>
          </a:solidFill>
          <a:prstDash val="solid"/>
          <a:miter/>
          <a:tailEnd type="triangle"/>
        </a:ln>
      </xdr:spPr>
    </xdr:sp>
    <xdr:clientData/>
  </xdr:twoCellAnchor>
  <xdr:twoCellAnchor editAs="oneCell">
    <xdr:from>
      <xdr:col>17</xdr:col>
      <xdr:colOff>478971</xdr:colOff>
      <xdr:row>4</xdr:row>
      <xdr:rowOff>10885</xdr:rowOff>
    </xdr:from>
    <xdr:to>
      <xdr:col>17</xdr:col>
      <xdr:colOff>478971</xdr:colOff>
      <xdr:row>5</xdr:row>
      <xdr:rowOff>46263</xdr:rowOff>
    </xdr:to>
    <xdr:sp>
      <xdr:nvSpPr>
        <xdr:cNvPr id="7" name="Gerade Verbindung mit Pfeil 27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11817531" y="1115785"/>
          <a:ext cx="0" cy="34017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10</xdr:col>
      <xdr:colOff>337457</xdr:colOff>
      <xdr:row>5</xdr:row>
      <xdr:rowOff>32657</xdr:rowOff>
    </xdr:from>
    <xdr:to>
      <xdr:col>28</xdr:col>
      <xdr:colOff>642257</xdr:colOff>
      <xdr:row>5</xdr:row>
      <xdr:rowOff>45583</xdr:rowOff>
    </xdr:to>
    <xdr:sp>
      <xdr:nvSpPr>
        <xdr:cNvPr id="8" name="Gerader Verbinder 28"/>
        <xdr:cNvSpPr>
          <a:spLocks xmlns:a="http://schemas.openxmlformats.org/drawingml/2006/main" noGrp="1"/>
        </xdr:cNvSpPr>
      </xdr:nvSpPr>
      <xdr:spPr>
        <a:xfrm xmlns:a="http://schemas.openxmlformats.org/drawingml/2006/main" flipV="1">
          <a:off x="6738257" y="1442357"/>
          <a:ext cx="10172700" cy="1292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CCA432"/>
          </a:solidFill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28</xdr:col>
      <xdr:colOff>642257</xdr:colOff>
      <xdr:row>5</xdr:row>
      <xdr:rowOff>43543</xdr:rowOff>
    </xdr:from>
    <xdr:to>
      <xdr:col>28</xdr:col>
      <xdr:colOff>642937</xdr:colOff>
      <xdr:row>5</xdr:row>
      <xdr:rowOff>226219</xdr:rowOff>
    </xdr:to>
    <xdr:sp>
      <xdr:nvSpPr>
        <xdr:cNvPr id="9" name="Gerade Verbindung mit Pfeil 29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15548882" y="1484199"/>
          <a:ext cx="680" cy="18267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10</xdr:col>
      <xdr:colOff>321469</xdr:colOff>
      <xdr:row>5</xdr:row>
      <xdr:rowOff>54429</xdr:rowOff>
    </xdr:from>
    <xdr:to>
      <xdr:col>10</xdr:col>
      <xdr:colOff>337457</xdr:colOff>
      <xdr:row>5</xdr:row>
      <xdr:rowOff>238125</xdr:rowOff>
    </xdr:to>
    <xdr:sp>
      <xdr:nvSpPr>
        <xdr:cNvPr id="10" name="Gerade Verbindung mit Pfeil 30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6226969" y="1495085"/>
          <a:ext cx="15988" cy="18369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</xdr:wsDr>
</file>

<file path=xl/drawings/drawing2.xml><?xml version="1.0" encoding="utf-8"?>
<xdr:wsDr xmlns:xdr="http://schemas.openxmlformats.org/drawingml/2006/spreadsheetDrawing">
  <xdr:twoCellAnchor editAs="oneCell">
    <xdr:from>
      <xdr:col>10</xdr:col>
      <xdr:colOff>297656</xdr:colOff>
      <xdr:row>9</xdr:row>
      <xdr:rowOff>11906</xdr:rowOff>
    </xdr:from>
    <xdr:to>
      <xdr:col>10</xdr:col>
      <xdr:colOff>297657</xdr:colOff>
      <xdr:row>10</xdr:row>
      <xdr:rowOff>261938</xdr:rowOff>
    </xdr:to>
    <xdr:sp>
      <xdr:nvSpPr>
        <xdr:cNvPr id="1" name="Gerade Verbindung mit Pfeil 11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6203156" y="2619375"/>
          <a:ext cx="1" cy="55959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4</xdr:col>
      <xdr:colOff>107156</xdr:colOff>
      <xdr:row>9</xdr:row>
      <xdr:rowOff>154781</xdr:rowOff>
    </xdr:from>
    <xdr:to>
      <xdr:col>22</xdr:col>
      <xdr:colOff>785813</xdr:colOff>
      <xdr:row>9</xdr:row>
      <xdr:rowOff>178593</xdr:rowOff>
    </xdr:to>
    <xdr:sp>
      <xdr:nvSpPr>
        <xdr:cNvPr id="2" name="Gerader Verbinder 12"/>
        <xdr:cNvSpPr>
          <a:spLocks xmlns:a="http://schemas.openxmlformats.org/drawingml/2006/main" noGrp="1"/>
        </xdr:cNvSpPr>
      </xdr:nvSpPr>
      <xdr:spPr>
        <a:xfrm xmlns:a="http://schemas.openxmlformats.org/drawingml/2006/main" flipV="1">
          <a:off x="2212181" y="2593181"/>
          <a:ext cx="11794332" cy="2381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CCA432"/>
          </a:solidFill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16</xdr:col>
      <xdr:colOff>309562</xdr:colOff>
      <xdr:row>9</xdr:row>
      <xdr:rowOff>178595</xdr:rowOff>
    </xdr:from>
    <xdr:to>
      <xdr:col>16</xdr:col>
      <xdr:colOff>309563</xdr:colOff>
      <xdr:row>10</xdr:row>
      <xdr:rowOff>273844</xdr:rowOff>
    </xdr:to>
    <xdr:sp>
      <xdr:nvSpPr>
        <xdr:cNvPr id="3" name="Gerade Verbindung mit Pfeil 13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10108406" y="2786064"/>
          <a:ext cx="1" cy="40481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4</xdr:col>
      <xdr:colOff>119063</xdr:colOff>
      <xdr:row>9</xdr:row>
      <xdr:rowOff>190501</xdr:rowOff>
    </xdr:from>
    <xdr:to>
      <xdr:col>4</xdr:col>
      <xdr:colOff>119063</xdr:colOff>
      <xdr:row>10</xdr:row>
      <xdr:rowOff>261938</xdr:rowOff>
    </xdr:to>
    <xdr:sp>
      <xdr:nvSpPr>
        <xdr:cNvPr id="4" name="Gerade Verbindung mit Pfeil 14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2131219" y="2797970"/>
          <a:ext cx="0" cy="38099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22</xdr:col>
      <xdr:colOff>785812</xdr:colOff>
      <xdr:row>9</xdr:row>
      <xdr:rowOff>142874</xdr:rowOff>
    </xdr:from>
    <xdr:to>
      <xdr:col>22</xdr:col>
      <xdr:colOff>785813</xdr:colOff>
      <xdr:row>10</xdr:row>
      <xdr:rowOff>214313</xdr:rowOff>
    </xdr:to>
    <xdr:sp>
      <xdr:nvSpPr>
        <xdr:cNvPr id="5" name="Gerade Verbindung mit Pfeil 15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13442156" y="2750343"/>
          <a:ext cx="1" cy="38100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28</xdr:col>
      <xdr:colOff>619125</xdr:colOff>
      <xdr:row>9</xdr:row>
      <xdr:rowOff>238125</xdr:rowOff>
    </xdr:from>
    <xdr:to>
      <xdr:col>28</xdr:col>
      <xdr:colOff>642938</xdr:colOff>
      <xdr:row>14</xdr:row>
      <xdr:rowOff>511968</xdr:rowOff>
    </xdr:to>
    <xdr:sp>
      <xdr:nvSpPr>
        <xdr:cNvPr id="6" name="Gerade Verbindung mit Pfeil 16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15918656" y="2845594"/>
          <a:ext cx="23813" cy="1702593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25400" cap="flat">
          <a:solidFill>
            <a:srgbClr val="CCA432"/>
          </a:solidFill>
          <a:prstDash val="solid"/>
          <a:miter/>
          <a:tailEnd type="triangle"/>
        </a:ln>
      </xdr:spPr>
    </xdr:sp>
    <xdr:clientData/>
  </xdr:twoCellAnchor>
  <xdr:twoCellAnchor editAs="oneCell">
    <xdr:from>
      <xdr:col>17</xdr:col>
      <xdr:colOff>478971</xdr:colOff>
      <xdr:row>4</xdr:row>
      <xdr:rowOff>10885</xdr:rowOff>
    </xdr:from>
    <xdr:to>
      <xdr:col>17</xdr:col>
      <xdr:colOff>478971</xdr:colOff>
      <xdr:row>5</xdr:row>
      <xdr:rowOff>46263</xdr:rowOff>
    </xdr:to>
    <xdr:sp>
      <xdr:nvSpPr>
        <xdr:cNvPr id="7" name="Gerade Verbindung mit Pfeil 17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11432721" y="1125310"/>
          <a:ext cx="0" cy="34017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10</xdr:col>
      <xdr:colOff>337457</xdr:colOff>
      <xdr:row>5</xdr:row>
      <xdr:rowOff>32657</xdr:rowOff>
    </xdr:from>
    <xdr:to>
      <xdr:col>28</xdr:col>
      <xdr:colOff>642257</xdr:colOff>
      <xdr:row>5</xdr:row>
      <xdr:rowOff>45583</xdr:rowOff>
    </xdr:to>
    <xdr:sp>
      <xdr:nvSpPr>
        <xdr:cNvPr id="8" name="Gerader Verbinder 18"/>
        <xdr:cNvSpPr>
          <a:spLocks xmlns:a="http://schemas.openxmlformats.org/drawingml/2006/main" noGrp="1"/>
        </xdr:cNvSpPr>
      </xdr:nvSpPr>
      <xdr:spPr>
        <a:xfrm xmlns:a="http://schemas.openxmlformats.org/drawingml/2006/main" flipV="1">
          <a:off x="6519182" y="1451882"/>
          <a:ext cx="9591675" cy="1292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CCA432"/>
          </a:solidFill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28</xdr:col>
      <xdr:colOff>642257</xdr:colOff>
      <xdr:row>5</xdr:row>
      <xdr:rowOff>43543</xdr:rowOff>
    </xdr:from>
    <xdr:to>
      <xdr:col>28</xdr:col>
      <xdr:colOff>642938</xdr:colOff>
      <xdr:row>5</xdr:row>
      <xdr:rowOff>214312</xdr:rowOff>
    </xdr:to>
    <xdr:sp>
      <xdr:nvSpPr>
        <xdr:cNvPr id="9" name="Gerade Verbindung mit Pfeil 19"/>
        <xdr:cNvSpPr>
          <a:spLocks xmlns:a="http://schemas.openxmlformats.org/drawingml/2006/main" noGrp="1"/>
        </xdr:cNvSpPr>
      </xdr:nvSpPr>
      <xdr:spPr>
        <a:xfrm xmlns:a="http://schemas.openxmlformats.org/drawingml/2006/main">
          <a:off x="15941788" y="1603262"/>
          <a:ext cx="681" cy="17076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  <xdr:twoCellAnchor editAs="oneCell">
    <xdr:from>
      <xdr:col>10</xdr:col>
      <xdr:colOff>333375</xdr:colOff>
      <xdr:row>5</xdr:row>
      <xdr:rowOff>54429</xdr:rowOff>
    </xdr:from>
    <xdr:to>
      <xdr:col>10</xdr:col>
      <xdr:colOff>337457</xdr:colOff>
      <xdr:row>5</xdr:row>
      <xdr:rowOff>202406</xdr:rowOff>
    </xdr:to>
    <xdr:sp>
      <xdr:nvSpPr>
        <xdr:cNvPr id="10" name="Gerade Verbindung mit Pfeil 20"/>
        <xdr:cNvSpPr>
          <a:spLocks xmlns:a="http://schemas.openxmlformats.org/drawingml/2006/main" noGrp="1"/>
        </xdr:cNvSpPr>
      </xdr:nvSpPr>
      <xdr:spPr>
        <a:xfrm xmlns:a="http://schemas.openxmlformats.org/drawingml/2006/main" flipH="1">
          <a:off x="6226969" y="1614148"/>
          <a:ext cx="4082" cy="14797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CCA432"/>
          </a:solidFill>
          <a:tailEnd type="triangle"/>
        </a:ln>
      </xdr:spPr>
      <xdr:style>
        <a:lnRef xmlns:a="http://schemas.openxmlformats.org/drawingml/2006/main" idx="3">
          <a:schemeClr val="accent4"/>
        </a:lnRef>
        <a:fillRef xmlns:a="http://schemas.openxmlformats.org/drawingml/2006/main" idx="0">
          <a:schemeClr val="accent4"/>
        </a:fillRef>
        <a:effectRef xmlns:a="http://schemas.openxmlformats.org/drawingml/2006/main" idx="2">
          <a:schemeClr val="accent4"/>
        </a:effectRef>
        <a:fontRef xmlns:a="http://schemas.openxmlformats.org/drawingml/2006/main" idx="minor">
          <a:schemeClr val="tx1"/>
        </a:fontRef>
      </xdr:style>
    </xdr:sp>
    <xdr:clientData/>
  </xdr:twoCellAnchor>
</xdr:wsDr>
</file>

<file path=xl/queryTables/queryTable1.xml><?xml version="1.0" encoding="utf-8"?>
<ns0:queryTable xmlns:ns0="http://schemas.openxmlformats.org/spreadsheetml/2006/main" name="Kursdetails" connectionId="1" autoFormatId="16" applyNumberFormats="0" applyBorderFormats="0" applyFontFormats="0" applyPatternFormats="0" applyAlignmentFormats="0" applyWidthHeightFormats="0">
  <ns0:queryTableRefresh nextId="7" preserveSortFilterLayout="1">
    <ns0:queryTableFields count="6">
      <ns0:queryTableField id="1" name="WKN" tableColumnId="1"/>
      <ns0:queryTableField id="2" name="Fondsname" tableColumnId="2"/>
      <ns0:queryTableField id="3" name="Letzte Ausschüttung EUR" tableColumnId="3"/>
      <ns0:queryTableField id="4" name="Rücknahmepreis EUR" tableColumnId="4"/>
      <ns0:queryTableField id="5" name="Stand" tableColumnId="5"/>
      <ns0:queryTableField id="6" name="Quelle" tableColumnId="6"/>
    </ns0:queryTableFields>
  </ns0:queryTableRefresh>
</ns0: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FondsdatenAuto" displayName="tblFondsdatenAuto" ref="A1:F9" headerRowCount="1">
  <autoFilter ref="A1:F9"/>
  <tableColumns count="6">
    <tableColumn id="1" name="WKN"/>
    <tableColumn id="2" name="Fondsname"/>
    <tableColumn id="3" name="Letzte Ausschüttung EUR"/>
    <tableColumn id="4" name="Rücknahmepreis EUR"/>
    <tableColumn id="5" name="Stand"/>
    <tableColumn id="6" name="Quel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Type="http://schemas.openxmlformats.org/officeDocument/2006/relationships/hyperlink" Target="https://www.fondsweb.com/de/LU1111122583" TargetMode="External" Id="R144214a18dcb4da5" /><Relationship Type="http://schemas.openxmlformats.org/officeDocument/2006/relationships/hyperlink" Target="https://www.fondsweb.com/de/LU0363470237" TargetMode="External" Id="R89f7560bcbc84f25" /><Relationship Type="http://schemas.openxmlformats.org/officeDocument/2006/relationships/hyperlink" Target="https://www.fondsweb.com/de/DE0009848119" TargetMode="External" Id="Re52a7c98f8f849d1" /><Relationship Type="http://schemas.openxmlformats.org/officeDocument/2006/relationships/hyperlink" Target="https://www.fondsweb.com/de/LU0971552913" TargetMode="External" Id="Rb66590de43a54b9a" /><Relationship Type="http://schemas.openxmlformats.org/officeDocument/2006/relationships/hyperlink" Target="https://www.fondsweb.com/de/LU2632499500" TargetMode="External" Id="R2fa3116c7b064669" /><Relationship Type="http://schemas.openxmlformats.org/officeDocument/2006/relationships/hyperlink" Target="https://www.fondsweb.com/de/LU2799048181" TargetMode="External" Id="Red480bdcd30841a8" /><Relationship Type="http://schemas.openxmlformats.org/officeDocument/2006/relationships/hyperlink" Target="https://www.fondsweb.com/de/LU2792127032" TargetMode="External" Id="R0d21547895b04337" /><Relationship Type="http://schemas.openxmlformats.org/officeDocument/2006/relationships/hyperlink" Target="https://www.fondsweb.com/de/LU2632499682" TargetMode="External" Id="R4095040e8a954b80" /><Relationship Type="http://schemas.openxmlformats.org/officeDocument/2006/relationships/hyperlink" Target="https://www.fondsweb.com/de/DE0009778563" TargetMode="External" Id="R1cf10259d7c64d98" /><Relationship Type="http://schemas.openxmlformats.org/officeDocument/2006/relationships/hyperlink" Target="https://www.fondsweb.com/de/DE0005152441" TargetMode="External" Id="R016da7fff6e64ed2" /><Relationship Type="http://schemas.openxmlformats.org/officeDocument/2006/relationships/hyperlink" Target="https://www.fondsweb.com/de/LU0133414606" TargetMode="External" Id="R4601905cfa51433d" /><Relationship Type="http://schemas.openxmlformats.org/officeDocument/2006/relationships/hyperlink" Target="https://www.fondsweb.com/de/LU1548497186" TargetMode="External" Id="R2f08c9d23ab24c8f" /><Relationship Type="http://schemas.openxmlformats.org/officeDocument/2006/relationships/hyperlink" Target="https://www.fondsweb.com/de/LU1752425543" TargetMode="External" Id="R5258c6034add49d0" /><Relationship Type="http://schemas.openxmlformats.org/officeDocument/2006/relationships/hyperlink" Target="https://www.fondsweb.com/de/DE0008474230" TargetMode="External" Id="R46f1a240a2b546ba" /><Relationship Type="http://schemas.openxmlformats.org/officeDocument/2006/relationships/hyperlink" Target="https://www.fondsweb.com/de/LU0649391066" TargetMode="External" Id="R9fc989dc89904846" /><Relationship Type="http://schemas.openxmlformats.org/officeDocument/2006/relationships/hyperlink" Target="https://www.fondsweb.com/de/LU0599946976" TargetMode="External" Id="R35e974c8548f4f04" /><Relationship Type="http://schemas.openxmlformats.org/officeDocument/2006/relationships/drawing" Target="/xl/drawings/drawing1.xml" Id="R34f0127e514c4084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hyperlink" Target="https://www.fondsweb.com/de/LU1111122583" TargetMode="External" Id="R85b58a6addbc4a44" /><Relationship Type="http://schemas.openxmlformats.org/officeDocument/2006/relationships/hyperlink" Target="https://www.fondsweb.com/de/LU0363470237" TargetMode="External" Id="Rd0b7e631fb3147b3" /><Relationship Type="http://schemas.openxmlformats.org/officeDocument/2006/relationships/hyperlink" Target="https://www.fondsweb.com/de/DE0009848119" TargetMode="External" Id="R2d00d4b559054626" /><Relationship Type="http://schemas.openxmlformats.org/officeDocument/2006/relationships/hyperlink" Target="https://www.fondsweb.com/de/LU0971552913" TargetMode="External" Id="R6e37de39cb6a4744" /><Relationship Type="http://schemas.openxmlformats.org/officeDocument/2006/relationships/hyperlink" Target="https://www.fondsweb.com/de/LU2632499500" TargetMode="External" Id="Rb431ccf3f3864bb0" /><Relationship Type="http://schemas.openxmlformats.org/officeDocument/2006/relationships/hyperlink" Target="https://www.fondsweb.com/de/LU2799048181" TargetMode="External" Id="R68f4afd4be724099" /><Relationship Type="http://schemas.openxmlformats.org/officeDocument/2006/relationships/hyperlink" Target="https://www.fondsweb.com/de/LU2792127032" TargetMode="External" Id="R78ade3484b5f442f" /><Relationship Type="http://schemas.openxmlformats.org/officeDocument/2006/relationships/hyperlink" Target="https://www.fondsweb.com/de/LU2632499682" TargetMode="External" Id="Rb93e0936fb1b486b" /><Relationship Type="http://schemas.openxmlformats.org/officeDocument/2006/relationships/hyperlink" Target="https://www.fondsweb.com/de/DE0009778563" TargetMode="External" Id="Rc61269f0f1254c39" /><Relationship Type="http://schemas.openxmlformats.org/officeDocument/2006/relationships/hyperlink" Target="https://www.fondsweb.com/de/DE0005152441" TargetMode="External" Id="Rf0b0a347435641da" /><Relationship Type="http://schemas.openxmlformats.org/officeDocument/2006/relationships/hyperlink" Target="https://www.fondsweb.com/de/LU0133414606" TargetMode="External" Id="R60cb880f497a4a8b" /><Relationship Type="http://schemas.openxmlformats.org/officeDocument/2006/relationships/hyperlink" Target="https://www.fondsweb.com/de/LU1548497186" TargetMode="External" Id="R1f740b4cf2b64a8a" /><Relationship Type="http://schemas.openxmlformats.org/officeDocument/2006/relationships/hyperlink" Target="https://www.fondsweb.com/de/LU1752425543" TargetMode="External" Id="Rd26ff782dd0e472a" /><Relationship Type="http://schemas.openxmlformats.org/officeDocument/2006/relationships/hyperlink" Target="https://www.fondsweb.com/de/DE0008474230" TargetMode="External" Id="R5311024ef4784cc1" /><Relationship Type="http://schemas.openxmlformats.org/officeDocument/2006/relationships/hyperlink" Target="https://www.fondsweb.com/de/LU0649391066" TargetMode="External" Id="Rb62c11059ce540f0" /><Relationship Type="http://schemas.openxmlformats.org/officeDocument/2006/relationships/hyperlink" Target="https://www.fondsweb.com/de/LU0599946976" TargetMode="External" Id="R61612c5856ee448a" /><Relationship Type="http://schemas.openxmlformats.org/officeDocument/2006/relationships/drawing" Target="/xl/drawings/drawing2.xml" Id="R4a1ec819cfb34d4f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hyperlink" Target="https://www.onvista.de/" TargetMode="External" Id="R5e55dcd131554b56" />  <Relationship Id="rId_vml4" Type="http://schemas.openxmlformats.org/officeDocument/2006/relationships/vmlDrawing" Target="../drawings/vmlDrawing4.vml"/>
</Relationships>
</file>

<file path=xl/worksheets/_rels/sheet5.xml.rels><?xml version="1.0" encoding="UTF-8" standalone="yes"?>
<Relationships xmlns="http://schemas.openxmlformats.org/package/2006/relationships">
  <Relationship Id="rId_vml5" Type="http://schemas.openxmlformats.org/officeDocument/2006/relationships/vmlDrawing" Target="../drawings/vmlDrawing5.vml"/>
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x:worksheet xmlns:x="http://schemas.openxmlformats.org/spreadsheetml/2006/main">
  <x:sheetViews>
    <x:sheetView showGridLines="0" workbookViewId="0"/>
  </x:sheetViews>
  <x:sheetFormatPr baseColWidth="10" defaultColWidth="10.7109375" defaultRowHeight="15"/>
  <x:cols>
    <x:col min="1" max="1" width="3.85546875" customWidth="1"/>
    <x:col min="2" max="2" width="4.42578125" style="3" customWidth="1"/>
    <x:col min="3" max="3" width="3.7109375" customWidth="1"/>
    <x:col min="4" max="4" width="20.7109375" style="3" customWidth="1"/>
    <x:col min="5" max="5" width="3.7109375" customWidth="1"/>
    <x:col min="6" max="6" width="20.7109375" customWidth="1"/>
    <x:col min="7" max="7" width="3.7109375" customWidth="1"/>
    <x:col min="8" max="8" width="20.7109375" customWidth="1"/>
    <x:col min="9" max="9" width="3.7109375" customWidth="1"/>
    <x:col min="10" max="10" width="20.7109375" customWidth="1"/>
    <x:col min="11" max="11" width="3.7109375" customWidth="1"/>
    <x:col min="12" max="12" width="20.7109375" customWidth="1"/>
    <x:col min="13" max="13" width="3.7109375" customWidth="1"/>
    <x:col min="14" max="14" width="20.7109375" customWidth="1"/>
    <x:col min="15" max="15" width="3.7109375" customWidth="1"/>
    <x:col min="16" max="16" width="20.7109375" customWidth="1"/>
    <x:col min="17" max="17" width="3.7109375" customWidth="1"/>
    <x:col min="18" max="18" width="20.7109375" customWidth="1"/>
    <x:col min="19" max="19" width="5.7109375" customWidth="1"/>
  </x:cols>
  <x:sheetData>
    <x:row r="1" ht="15.75"/>
    <x:row r="2" ht="29.25">
      <x:c r="C2" s="189"/>
      <x:c r="D2" s="462"/>
      <x:c r="E2" s="463"/>
      <x:c r="F2" s="463"/>
      <x:c r="G2" s="464"/>
      <x:c r="I2" s="465" t="s">
        <x:v>0</x:v>
      </x:c>
      <x:c r="J2" s="466"/>
      <x:c r="K2" s="466"/>
      <x:c r="L2" s="466"/>
      <x:c r="M2" s="466"/>
      <x:c r="N2" s="467"/>
    </x:row>
    <x:row r="3" ht="21">
      <x:c r="C3" s="189"/>
    </x:row>
    <x:row r="4" ht="21.75">
      <x:c r="C4" s="189"/>
    </x:row>
    <x:row r="5" ht="15.75">
      <x:c r="C5" s="190" t="s">
        <x:v>1</x:v>
      </x:c>
      <x:c r="D5" s="190" t="s">
        <x:v>2</x:v>
      </x:c>
      <x:c r="E5" s="191" t="s">
        <x:v>3</x:v>
      </x:c>
      <x:c r="F5" s="191" t="s">
        <x:v>4</x:v>
      </x:c>
      <x:c r="G5" s="192" t="s">
        <x:v>5</x:v>
      </x:c>
      <x:c r="H5" s="192" t="s">
        <x:v>6</x:v>
      </x:c>
      <x:c r="I5" s="193" t="s">
        <x:v>7</x:v>
      </x:c>
      <x:c r="J5" s="193" t="s">
        <x:v>8</x:v>
      </x:c>
      <x:c r="K5" s="194" t="s">
        <x:v>9</x:v>
      </x:c>
      <x:c r="L5" s="194" t="s">
        <x:v>10</x:v>
      </x:c>
      <x:c r="M5" s="195" t="s">
        <x:v>11</x:v>
      </x:c>
      <x:c r="N5" s="195" t="s">
        <x:v>12</x:v>
      </x:c>
      <x:c r="O5" s="196" t="s">
        <x:v>13</x:v>
      </x:c>
      <x:c r="P5" s="196" t="s">
        <x:v>14</x:v>
      </x:c>
      <x:c r="Q5" s="197" t="s">
        <x:v>15</x:v>
      </x:c>
      <x:c r="R5" s="198" t="s">
        <x:v>16</x:v>
      </x:c>
    </x:row>
    <x:row r="6" ht="21.75">
      <x:c r="C6" s="189"/>
    </x:row>
    <x:row r="7" ht="14.449999809265137" customHeight="1">
      <x:c r="C7" s="189"/>
      <x:c r="D7" s="199" t="s">
        <x:v>17</x:v>
      </x:c>
      <x:c r="F7" s="199" t="s">
        <x:v>18</x:v>
      </x:c>
      <x:c r="H7" s="199" t="s">
        <x:v>19</x:v>
      </x:c>
      <x:c r="J7" s="199" t="s">
        <x:v>20</x:v>
      </x:c>
      <x:c r="L7" s="199" t="s">
        <x:v>21</x:v>
      </x:c>
      <x:c r="N7" s="199" t="s">
        <x:v>22</x:v>
      </x:c>
      <x:c r="P7" s="199" t="s">
        <x:v>23</x:v>
      </x:c>
      <x:c r="R7" s="199" t="s">
        <x:v>24</x:v>
      </x:c>
    </x:row>
    <x:row r="8" ht="14.449999809265137" customHeight="1">
      <x:c r="C8" s="189"/>
      <x:c r="D8" s="200" t="s">
        <x:v>25</x:v>
      </x:c>
      <x:c r="F8" s="200" t="s">
        <x:v>26</x:v>
      </x:c>
      <x:c r="H8" s="200" t="s">
        <x:v>27</x:v>
      </x:c>
      <x:c r="J8" s="200" t="s">
        <x:v>28</x:v>
      </x:c>
      <x:c r="L8" s="200" t="s">
        <x:v>29</x:v>
      </x:c>
      <x:c r="N8" s="200" t="s">
        <x:v>30</x:v>
      </x:c>
      <x:c r="P8" s="200" t="s">
        <x:v>31</x:v>
      </x:c>
      <x:c r="R8" s="200" t="s">
        <x:v>32</x:v>
      </x:c>
    </x:row>
    <x:row r="9" ht="14.449999809265137" customHeight="1">
      <x:c r="C9" s="189"/>
      <x:c r="D9" s="200" t="s">
        <x:v>33</x:v>
      </x:c>
      <x:c r="F9" s="200" t="s">
        <x:v>34</x:v>
      </x:c>
      <x:c r="H9" s="200" t="s">
        <x:v>35</x:v>
      </x:c>
      <x:c r="J9" s="200" t="s">
        <x:v>36</x:v>
      </x:c>
      <x:c r="L9" s="200"/>
      <x:c r="N9" s="200" t="s">
        <x:v>37</x:v>
      </x:c>
      <x:c r="P9" s="200" t="s">
        <x:v>38</x:v>
      </x:c>
      <x:c r="R9" s="200"/>
    </x:row>
    <x:row r="10" ht="14.449999809265137" customHeight="1">
      <x:c r="C10" s="189"/>
      <x:c r="D10" s="200" t="s">
        <x:v>39</x:v>
      </x:c>
      <x:c r="F10" s="200" t="s">
        <x:v>40</x:v>
      </x:c>
      <x:c r="H10" s="201"/>
      <x:c r="J10" s="200"/>
      <x:c r="L10" s="201"/>
      <x:c r="N10" s="200" t="s">
        <x:v>41</x:v>
      </x:c>
      <x:c r="P10" s="201"/>
      <x:c r="R10" s="201"/>
    </x:row>
    <x:row r="11" ht="14.449999809265137" customHeight="1">
      <x:c r="C11" s="189"/>
      <x:c r="D11" s="200" t="s">
        <x:v>42</x:v>
      </x:c>
      <x:c r="F11" s="201"/>
      <x:c r="H11" s="201"/>
      <x:c r="J11" s="200"/>
      <x:c r="L11" s="201"/>
      <x:c r="N11" s="201"/>
      <x:c r="P11" s="201"/>
      <x:c r="R11" s="201"/>
    </x:row>
    <x:row r="12" ht="14.449999809265137" customHeight="1">
      <x:c r="C12" s="189"/>
      <x:c r="D12" s="202" t="s">
        <x:v>43</x:v>
      </x:c>
      <x:c r="F12" s="203"/>
      <x:c r="H12" s="203"/>
      <x:c r="J12" s="203"/>
      <x:c r="L12" s="203"/>
      <x:c r="N12" s="203"/>
      <x:c r="P12" s="203"/>
      <x:c r="R12" s="203"/>
    </x:row>
    <x:row r="13" ht="5.099999904632568" customHeight="1">
      <x:c r="C13" s="189"/>
    </x:row>
    <x:row r="14" ht="5.099999904632568" customHeight="1">
      <x:c r="B14" s="204"/>
      <x:c r="C14" s="205"/>
      <x:c r="D14" s="204"/>
      <x:c r="E14" s="24"/>
      <x:c r="F14" s="24"/>
      <x:c r="G14" s="24"/>
      <x:c r="H14" s="24"/>
      <x:c r="I14" s="24"/>
      <x:c r="J14" s="24"/>
      <x:c r="K14" s="24"/>
      <x:c r="L14" s="24"/>
      <x:c r="M14" s="24"/>
      <x:c r="N14" s="24"/>
      <x:c r="O14" s="24"/>
      <x:c r="P14" s="24"/>
      <x:c r="Q14" s="24"/>
      <x:c r="R14" s="24"/>
    </x:row>
    <x:row r="15" ht="8.100000381469727" customHeight="1">
      <x:c r="C15" s="189"/>
    </x:row>
    <x:row r="16" ht="15.75">
      <x:c r="F16" s="206" t="s">
        <x:v>44</x:v>
      </x:c>
      <x:c r="H16" s="206" t="s">
        <x:v>45</x:v>
      </x:c>
      <x:c r="J16" s="206" t="s">
        <x:v>45</x:v>
      </x:c>
      <x:c r="L16" s="206" t="s">
        <x:v>45</x:v>
      </x:c>
      <x:c r="N16" s="206" t="s">
        <x:v>45</x:v>
      </x:c>
      <x:c r="P16" s="206" t="s">
        <x:v>45</x:v>
      </x:c>
      <x:c r="R16" s="206" t="s">
        <x:v>45</x:v>
      </x:c>
    </x:row>
    <x:row r="17" s="3" customFormat="1" ht="15.75">
      <x:c r="F17" s="3" t="s">
        <x:v>46</x:v>
      </x:c>
      <x:c r="H17" s="3" t="s">
        <x:v>46</x:v>
      </x:c>
      <x:c r="J17" s="3" t="s">
        <x:v>46</x:v>
      </x:c>
      <x:c r="L17" s="3" t="s">
        <x:v>46</x:v>
      </x:c>
      <x:c r="N17" s="3" t="s">
        <x:v>46</x:v>
      </x:c>
      <x:c r="P17" s="3" t="s">
        <x:v>46</x:v>
      </x:c>
      <x:c r="R17" s="3" t="s">
        <x:v>46</x:v>
      </x:c>
    </x:row>
    <x:row r="18" s="3" customFormat="1" ht="15.75">
      <x:c r="F18" s="207">
        <x:v>45922</x:v>
      </x:c>
      <x:c r="H18" s="207"/>
      <x:c r="J18" s="206"/>
      <x:c r="L18" s="206"/>
      <x:c r="N18" s="206"/>
      <x:c r="P18" s="206"/>
      <x:c r="R18" s="206"/>
    </x:row>
    <x:row r="19" ht="15.75"/>
    <x:row r="20" ht="15.75">
      <x:c r="B20" s="190" t="s">
        <x:v>1</x:v>
      </x:c>
      <x:c r="D20" s="190" t="s">
        <x:v>2</x:v>
      </x:c>
      <x:c r="F20" s="208"/>
      <x:c r="H20" s="208"/>
      <x:c r="I20" s="209"/>
      <x:c r="J20" s="208"/>
      <x:c r="K20" s="209"/>
      <x:c r="L20" s="208"/>
      <x:c r="M20" s="209"/>
      <x:c r="N20" s="208"/>
      <x:c r="O20" s="209"/>
      <x:c r="P20" s="208"/>
      <x:c r="Q20" s="209"/>
      <x:c r="R20" s="208"/>
    </x:row>
    <x:row r="21" ht="15.75">
      <x:c r="F21" s="209"/>
      <x:c r="H21" s="209"/>
      <x:c r="I21" s="209"/>
      <x:c r="J21" s="209"/>
      <x:c r="K21" s="209"/>
      <x:c r="L21" s="209"/>
      <x:c r="M21" s="209"/>
      <x:c r="N21" s="209"/>
      <x:c r="O21" s="209"/>
      <x:c r="P21" s="209"/>
      <x:c r="Q21" s="209"/>
      <x:c r="R21" s="209"/>
    </x:row>
    <x:row r="22" ht="15.75">
      <x:c r="B22" s="211" t="s">
        <x:v>47</x:v>
      </x:c>
      <x:c r="D22" s="191" t="s">
        <x:v>4</x:v>
      </x:c>
      <x:c r="F22" s="208"/>
      <x:c r="H22" s="208"/>
      <x:c r="I22" s="209"/>
      <x:c r="J22" s="208"/>
      <x:c r="K22" s="209"/>
      <x:c r="L22" s="208"/>
      <x:c r="M22" s="209"/>
      <x:c r="N22" s="208"/>
      <x:c r="O22" s="209"/>
      <x:c r="P22" s="208"/>
      <x:c r="Q22" s="209"/>
      <x:c r="R22" s="208"/>
    </x:row>
    <x:row r="23" ht="15.75">
      <x:c r="F23" s="209"/>
      <x:c r="H23" s="209"/>
      <x:c r="I23" s="209"/>
      <x:c r="J23" s="209"/>
      <x:c r="K23" s="209"/>
      <x:c r="L23" s="209"/>
      <x:c r="M23" s="209"/>
      <x:c r="N23" s="209"/>
      <x:c r="O23" s="209"/>
      <x:c r="P23" s="209"/>
      <x:c r="Q23" s="209"/>
      <x:c r="R23" s="209"/>
    </x:row>
    <x:row r="24" ht="15.75">
      <x:c r="B24" s="191" t="s">
        <x:v>48</x:v>
      </x:c>
      <x:c r="D24" s="191" t="s">
        <x:v>40</x:v>
      </x:c>
      <x:c r="F24" s="208"/>
      <x:c r="H24" s="208"/>
      <x:c r="I24" s="209"/>
      <x:c r="J24" s="208"/>
      <x:c r="K24" s="209"/>
      <x:c r="L24" s="208"/>
      <x:c r="M24" s="209"/>
      <x:c r="N24" s="208"/>
      <x:c r="O24" s="209"/>
      <x:c r="P24" s="208"/>
      <x:c r="Q24" s="209"/>
      <x:c r="R24" s="208"/>
    </x:row>
    <x:row r="25" ht="15.75">
      <x:c r="F25" s="209"/>
      <x:c r="H25" s="209"/>
      <x:c r="I25" s="209"/>
      <x:c r="J25" s="209"/>
      <x:c r="K25" s="209"/>
      <x:c r="L25" s="209"/>
      <x:c r="M25" s="209"/>
      <x:c r="N25" s="209"/>
      <x:c r="O25" s="209"/>
      <x:c r="P25" s="209"/>
      <x:c r="Q25" s="209"/>
      <x:c r="R25" s="209"/>
    </x:row>
    <x:row r="26" ht="15.75">
      <x:c r="B26" s="192" t="s">
        <x:v>5</x:v>
      </x:c>
      <x:c r="D26" s="192" t="s">
        <x:v>6</x:v>
      </x:c>
      <x:c r="F26" s="208"/>
      <x:c r="H26" s="208"/>
      <x:c r="I26" s="209"/>
      <x:c r="J26" s="208"/>
      <x:c r="K26" s="209"/>
      <x:c r="L26" s="208"/>
      <x:c r="M26" s="209"/>
      <x:c r="N26" s="208"/>
      <x:c r="O26" s="209"/>
      <x:c r="P26" s="208"/>
      <x:c r="Q26" s="209"/>
      <x:c r="R26" s="208"/>
    </x:row>
    <x:row r="27" ht="15.75">
      <x:c r="F27" s="209"/>
      <x:c r="H27" s="209"/>
      <x:c r="I27" s="209"/>
      <x:c r="J27" s="209"/>
      <x:c r="K27" s="209"/>
      <x:c r="L27" s="209"/>
      <x:c r="M27" s="209"/>
      <x:c r="N27" s="209"/>
      <x:c r="O27" s="209"/>
      <x:c r="P27" s="209"/>
      <x:c r="Q27" s="209"/>
      <x:c r="R27" s="209"/>
    </x:row>
    <x:row r="28" ht="15.75">
      <x:c r="B28" s="193" t="s">
        <x:v>7</x:v>
      </x:c>
      <x:c r="D28" s="193" t="s">
        <x:v>8</x:v>
      </x:c>
      <x:c r="F28" s="208"/>
      <x:c r="H28" s="208"/>
      <x:c r="I28" s="209"/>
      <x:c r="J28" s="208"/>
      <x:c r="K28" s="209"/>
      <x:c r="L28" s="208"/>
      <x:c r="M28" s="209"/>
      <x:c r="N28" s="208"/>
      <x:c r="O28" s="209"/>
      <x:c r="P28" s="208"/>
      <x:c r="Q28" s="209"/>
      <x:c r="R28" s="208"/>
    </x:row>
    <x:row r="29" ht="15.75">
      <x:c r="F29" s="209"/>
      <x:c r="H29" s="209"/>
      <x:c r="I29" s="209"/>
      <x:c r="J29" s="209"/>
      <x:c r="K29" s="209"/>
      <x:c r="L29" s="209"/>
      <x:c r="M29" s="209"/>
      <x:c r="N29" s="209"/>
      <x:c r="O29" s="209"/>
      <x:c r="P29" s="209"/>
      <x:c r="Q29" s="209"/>
      <x:c r="R29" s="209"/>
    </x:row>
    <x:row r="30" ht="15.75">
      <x:c r="B30" s="194" t="s">
        <x:v>9</x:v>
      </x:c>
      <x:c r="D30" s="194" t="s">
        <x:v>10</x:v>
      </x:c>
      <x:c r="F30" s="208"/>
      <x:c r="H30" s="208"/>
      <x:c r="I30" s="209"/>
      <x:c r="J30" s="208"/>
      <x:c r="K30" s="209"/>
      <x:c r="L30" s="208"/>
      <x:c r="M30" s="209"/>
      <x:c r="N30" s="208"/>
      <x:c r="O30" s="209"/>
      <x:c r="P30" s="208"/>
      <x:c r="Q30" s="209"/>
      <x:c r="R30" s="208"/>
    </x:row>
    <x:row r="31" ht="15.75">
      <x:c r="F31" s="209"/>
      <x:c r="H31" s="209"/>
      <x:c r="I31" s="209"/>
      <x:c r="J31" s="209"/>
      <x:c r="K31" s="209"/>
      <x:c r="L31" s="209"/>
      <x:c r="M31" s="209"/>
      <x:c r="N31" s="209"/>
      <x:c r="O31" s="209"/>
      <x:c r="P31" s="209"/>
      <x:c r="Q31" s="209"/>
      <x:c r="R31" s="209"/>
    </x:row>
    <x:row r="32" ht="15.75">
      <x:c r="B32" s="195" t="s">
        <x:v>11</x:v>
      </x:c>
      <x:c r="D32" s="195" t="s">
        <x:v>12</x:v>
      </x:c>
      <x:c r="F32" s="208"/>
      <x:c r="H32" s="208"/>
      <x:c r="I32" s="209"/>
      <x:c r="J32" s="208"/>
      <x:c r="K32" s="209"/>
      <x:c r="L32" s="208"/>
      <x:c r="M32" s="209"/>
      <x:c r="N32" s="208"/>
      <x:c r="O32" s="209"/>
      <x:c r="P32" s="208"/>
      <x:c r="Q32" s="209"/>
      <x:c r="R32" s="208"/>
    </x:row>
    <x:row r="33" ht="15.75">
      <x:c r="F33" s="209"/>
      <x:c r="H33" s="209"/>
      <x:c r="I33" s="209"/>
      <x:c r="J33" s="209"/>
      <x:c r="K33" s="209"/>
      <x:c r="L33" s="209"/>
      <x:c r="M33" s="209"/>
      <x:c r="N33" s="209"/>
      <x:c r="O33" s="209"/>
      <x:c r="P33" s="209"/>
      <x:c r="Q33" s="209"/>
      <x:c r="R33" s="209"/>
    </x:row>
    <x:row r="34" ht="15.75">
      <x:c r="B34" s="196" t="s">
        <x:v>13</x:v>
      </x:c>
      <x:c r="D34" s="196" t="s">
        <x:v>14</x:v>
      </x:c>
      <x:c r="F34" s="208"/>
      <x:c r="H34" s="208"/>
      <x:c r="I34" s="209"/>
      <x:c r="J34" s="208"/>
      <x:c r="K34" s="209"/>
      <x:c r="L34" s="208"/>
      <x:c r="M34" s="209"/>
      <x:c r="N34" s="208"/>
      <x:c r="O34" s="209"/>
      <x:c r="P34" s="208"/>
      <x:c r="Q34" s="209"/>
      <x:c r="R34" s="208"/>
    </x:row>
    <x:row r="35" ht="15.75">
      <x:c r="F35" s="209"/>
      <x:c r="H35" s="209"/>
      <x:c r="I35" s="209"/>
      <x:c r="J35" s="209"/>
      <x:c r="K35" s="209"/>
      <x:c r="L35" s="209"/>
      <x:c r="M35" s="209"/>
      <x:c r="N35" s="209"/>
      <x:c r="O35" s="209"/>
      <x:c r="P35" s="209"/>
      <x:c r="Q35" s="209"/>
      <x:c r="R35" s="209"/>
    </x:row>
    <x:row r="36" ht="15.75">
      <x:c r="B36" s="197" t="s">
        <x:v>15</x:v>
      </x:c>
      <x:c r="D36" s="198" t="s">
        <x:v>16</x:v>
      </x:c>
      <x:c r="F36" s="208"/>
      <x:c r="H36" s="208"/>
      <x:c r="I36" s="209"/>
      <x:c r="J36" s="208"/>
      <x:c r="K36" s="209"/>
      <x:c r="L36" s="208"/>
      <x:c r="M36" s="209"/>
      <x:c r="N36" s="208"/>
      <x:c r="O36" s="209"/>
      <x:c r="P36" s="208"/>
      <x:c r="Q36" s="209"/>
      <x:c r="R36" s="208"/>
    </x:row>
    <x:row r="37">
      <x:c r="F37" s="209"/>
      <x:c r="H37" s="209"/>
      <x:c r="I37" s="209"/>
      <x:c r="J37" s="209"/>
      <x:c r="K37" s="209"/>
      <x:c r="L37" s="209"/>
      <x:c r="M37" s="209"/>
      <x:c r="N37" s="209"/>
      <x:c r="O37" s="209"/>
      <x:c r="P37" s="209"/>
      <x:c r="Q37" s="209"/>
      <x:c r="R37" s="209"/>
    </x:row>
    <x:row r="38" ht="15.75">
      <x:c r="F38" s="209"/>
      <x:c r="H38" s="209"/>
      <x:c r="I38" s="209"/>
      <x:c r="J38" s="209"/>
      <x:c r="K38" s="209"/>
      <x:c r="L38" s="209"/>
      <x:c r="M38" s="209"/>
      <x:c r="N38" s="209"/>
      <x:c r="O38" s="209"/>
      <x:c r="P38" s="209"/>
      <x:c r="Q38" s="209"/>
      <x:c r="R38" s="209"/>
    </x:row>
    <x:row r="39" s="8" customFormat="1" ht="15.75">
      <x:c r="D39" s="210" t="s">
        <x:v>49</x:v>
      </x:c>
      <x:c r="F39" s="212" t="n">
        <x:f>SUM(F20:F38)</x:f>
        <x:v>0</x:v>
      </x:c>
      <x:c r="H39" s="212" t="n">
        <x:f>SUM(H20:H36)</x:f>
        <x:v>0</x:v>
      </x:c>
      <x:c r="I39" s="213"/>
      <x:c r="J39" s="212" t="n">
        <x:f>SUM(J20:J36)</x:f>
        <x:v>0</x:v>
      </x:c>
      <x:c r="K39" s="213"/>
      <x:c r="L39" s="212" t="n">
        <x:f>SUM(L20:L36)</x:f>
        <x:v>0</x:v>
      </x:c>
      <x:c r="M39" s="213"/>
      <x:c r="N39" s="212"/>
      <x:c r="O39" s="213"/>
      <x:c r="P39" s="212"/>
      <x:c r="Q39" s="213"/>
      <x:c r="R39" s="212"/>
    </x:row>
  </x:sheetData>
  <x:mergeCells>
    <x:mergeCell ref="D2:G2"/>
    <x:mergeCell ref="I2:N2"/>
  </x:mergeCell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Views>
    <x:sheetView showGridLines="0" workbookViewId="0"/>
  </x:sheetViews>
  <x:sheetFormatPr baseColWidth="10" defaultColWidth="10.7109375" defaultRowHeight="15"/>
  <x:cols>
    <x:col min="1" max="1" width="1.7109375" customWidth="1"/>
    <x:col min="2" max="2" width="5.7109375" customWidth="1"/>
    <x:col min="5" max="5" width="8.7109375" customWidth="1"/>
    <x:col min="6" max="6" width="11.7109375" customWidth="1"/>
    <x:col min="8" max="8" width="6.7109375" customWidth="1"/>
    <x:col min="11" max="11" width="8.7109375" customWidth="1"/>
    <x:col min="14" max="14" width="6.7109375" customWidth="1"/>
    <x:col min="16" max="19" width="12.7109375" customWidth="1"/>
    <x:col min="20" max="20" width="3.28515625" customWidth="1"/>
    <x:col min="21" max="21" width="2" customWidth="1"/>
    <x:col min="22" max="22" width="5.85546875" customWidth="1"/>
    <x:col min="23" max="23" width="13.7109375" customWidth="1"/>
    <x:col min="24" max="24" width="6" customWidth="1"/>
    <x:col min="25" max="25" width="4.7109375" customWidth="1"/>
    <x:col min="26" max="26" width="2.7109375" customWidth="1"/>
    <x:col min="27" max="27" width="5.7109375" customWidth="1"/>
    <x:col min="28" max="28" width="2.7109375" customWidth="1"/>
    <x:col min="29" max="29" width="16.5703125" customWidth="1"/>
    <x:col min="30" max="30" width="2.7109375" customWidth="1"/>
    <x:col min="31" max="31" width="17.7109375" customWidth="1"/>
    <x:col min="32" max="32" width="2.7109375" customWidth="1"/>
    <x:col min="33" max="33" width="17.7109375" customWidth="1"/>
    <x:col min="34" max="34" width="2.7109375" customWidth="1"/>
    <x:col min="35" max="35" width="17.7109375" customWidth="1"/>
    <x:col min="36" max="36" width="2.7109375" customWidth="1"/>
    <x:col min="37" max="37" width="16.140625" customWidth="1"/>
    <x:col min="38" max="38" width="9.140625" customWidth="1"/>
  </x:cols>
  <x:sheetData>
    <x:row r="1" ht="15.75"/>
    <x:row r="2" ht="24" customHeight="1">
      <x:c r="D2" s="230" t="s">
        <x:v>50</x:v>
      </x:c>
      <x:c r="E2" s="231"/>
      <x:c r="F2" s="231"/>
      <x:c r="G2" s="231"/>
      <x:c r="H2" s="231"/>
      <x:c r="I2" s="232"/>
    </x:row>
    <x:row r="3" ht="33.95000076293945" customHeight="1">
      <x:c r="D3" s="233" t="n">
        <x:f>Gesamtanlage!D2</x:f>
        <x:v>0</x:v>
      </x:c>
      <x:c r="E3" s="234"/>
      <x:c r="F3" s="234"/>
      <x:c r="G3" s="235"/>
      <x:c r="H3" s="236" t="n">
        <x:f ca="1">TODAY()</x:f>
        <x:v>46247</x:v>
      </x:c>
      <x:c r="I3" s="237"/>
      <x:c r="P3" s="238" t="s">
        <x:v>51</x:v>
      </x:c>
      <x:c r="Q3" s="239"/>
      <x:c r="R3" s="239"/>
      <x:c r="S3" s="239"/>
      <x:c r="T3" s="239"/>
      <x:c r="U3" s="239"/>
      <x:c r="V3" s="240"/>
    </x:row>
    <x:row r="4" ht="24" customHeight="1">
      <x:c r="D4" s="52"/>
      <x:c r="E4" s="52"/>
      <x:c r="F4" s="52"/>
      <x:c r="G4" s="52"/>
      <x:c r="H4" s="51"/>
      <x:c r="I4" s="51"/>
      <x:c r="P4" s="227" t="n">
        <x:f>H9+Y9</x:f>
        <x:v>0</x:v>
      </x:c>
      <x:c r="Q4" s="228"/>
      <x:c r="R4" s="228"/>
      <x:c r="S4" s="228"/>
      <x:c r="T4" s="228"/>
      <x:c r="U4" s="228"/>
      <x:c r="V4" s="229"/>
    </x:row>
    <x:row r="5" ht="24" customHeight="1">
      <x:c r="D5" s="52"/>
      <x:c r="E5" s="52"/>
      <x:c r="F5" s="52"/>
      <x:c r="G5" s="52"/>
      <x:c r="H5" s="51"/>
      <x:c r="I5" s="51"/>
    </x:row>
    <x:row r="6" ht="24" customHeight="1">
      <x:c r="D6" s="52"/>
      <x:c r="E6" s="52"/>
      <x:c r="F6" s="52"/>
      <x:c r="G6" s="52"/>
      <x:c r="H6" s="51"/>
      <x:c r="I6" s="51"/>
    </x:row>
    <x:row r="7" ht="17.100000381469727" customHeight="1">
      <x:c r="H7" s="241" t="s">
        <x:v>52</x:v>
      </x:c>
      <x:c r="I7" s="242"/>
      <x:c r="J7" s="242"/>
      <x:c r="K7" s="242"/>
      <x:c r="L7" s="242"/>
      <x:c r="M7" s="242"/>
      <x:c r="N7" s="243"/>
      <x:c r="Y7" s="241" t="s">
        <x:v>53</x:v>
      </x:c>
      <x:c r="Z7" s="242"/>
      <x:c r="AA7" s="242"/>
      <x:c r="AB7" s="242"/>
      <x:c r="AC7" s="242"/>
      <x:c r="AD7" s="242"/>
      <x:c r="AE7" s="242"/>
      <x:c r="AF7" s="243"/>
    </x:row>
    <x:row r="8" ht="17.100000381469727" customHeight="1">
      <x:c r="H8" s="244"/>
      <x:c r="I8" s="245"/>
      <x:c r="J8" s="245"/>
      <x:c r="K8" s="245"/>
      <x:c r="L8" s="245"/>
      <x:c r="M8" s="245"/>
      <x:c r="N8" s="246"/>
      <x:c r="Y8" s="244"/>
      <x:c r="Z8" s="245"/>
      <x:c r="AA8" s="245"/>
      <x:c r="AB8" s="245"/>
      <x:c r="AC8" s="245"/>
      <x:c r="AD8" s="245"/>
      <x:c r="AE8" s="245"/>
      <x:c r="AF8" s="246"/>
    </x:row>
    <x:row r="9" ht="24" customHeight="1">
      <x:c r="H9" s="227" t="n">
        <x:f>P75-U69</x:f>
        <x:v>0</x:v>
      </x:c>
      <x:c r="I9" s="228"/>
      <x:c r="J9" s="228"/>
      <x:c r="K9" s="228"/>
      <x:c r="L9" s="228"/>
      <x:c r="M9" s="228"/>
      <x:c r="N9" s="229"/>
      <x:c r="Y9" s="227" t="n">
        <x:f>U69</x:f>
        <x:v>0</x:v>
      </x:c>
      <x:c r="Z9" s="228"/>
      <x:c r="AA9" s="228"/>
      <x:c r="AB9" s="228"/>
      <x:c r="AC9" s="228"/>
      <x:c r="AD9" s="228"/>
      <x:c r="AE9" s="228"/>
      <x:c r="AF9" s="229"/>
    </x:row>
    <x:row r="10" ht="24" customHeight="1"/>
    <x:row r="11" ht="30" customHeight="1"/>
    <x:row r="12" ht="17.100000381469727" customHeight="1">
      <x:c r="C12" s="241" t="s">
        <x:v>54</x:v>
      </x:c>
      <x:c r="D12" s="242"/>
      <x:c r="E12" s="242"/>
      <x:c r="F12" s="242"/>
      <x:c r="G12" s="243"/>
      <x:c r="I12" s="241" t="s">
        <x:v>55</x:v>
      </x:c>
      <x:c r="J12" s="242"/>
      <x:c r="K12" s="242"/>
      <x:c r="L12" s="242"/>
      <x:c r="M12" s="243"/>
      <x:c r="O12" s="241" t="s">
        <x:v>56</x:v>
      </x:c>
      <x:c r="P12" s="242"/>
      <x:c r="Q12" s="242"/>
      <x:c r="R12" s="242"/>
      <x:c r="S12" s="243"/>
      <x:c r="V12" s="241" t="s">
        <x:v>57</x:v>
      </x:c>
      <x:c r="W12" s="242"/>
      <x:c r="X12" s="242"/>
      <x:c r="Y12" s="242"/>
      <x:c r="Z12" s="242"/>
      <x:c r="AA12" s="243"/>
    </x:row>
    <x:row r="13" s="2" customFormat="1" ht="17.100000381469727" customHeight="1">
      <x:c r="C13" s="244"/>
      <x:c r="D13" s="245"/>
      <x:c r="E13" s="245"/>
      <x:c r="F13" s="245"/>
      <x:c r="G13" s="246"/>
      <x:c r="I13" s="244"/>
      <x:c r="J13" s="245"/>
      <x:c r="K13" s="245"/>
      <x:c r="L13" s="245"/>
      <x:c r="M13" s="246"/>
      <x:c r="O13" s="244"/>
      <x:c r="P13" s="245"/>
      <x:c r="Q13" s="245"/>
      <x:c r="R13" s="245"/>
      <x:c r="S13" s="246"/>
      <x:c r="V13" s="244"/>
      <x:c r="W13" s="245"/>
      <x:c r="X13" s="245"/>
      <x:c r="Y13" s="245"/>
      <x:c r="Z13" s="245"/>
      <x:c r="AA13" s="246"/>
      <x:c r="AB13" s="188"/>
      <x:c r="AC13" s="38"/>
    </x:row>
    <x:row r="14" ht="24" customHeight="1">
      <x:c r="C14" s="227" t="n">
        <x:f>H9*30/100</x:f>
        <x:v>0</x:v>
      </x:c>
      <x:c r="D14" s="228"/>
      <x:c r="E14" s="228"/>
      <x:c r="F14" s="228"/>
      <x:c r="G14" s="229"/>
      <x:c r="I14" s="227" t="n">
        <x:f>H9*50/100</x:f>
        <x:v>0</x:v>
      </x:c>
      <x:c r="J14" s="228"/>
      <x:c r="K14" s="228"/>
      <x:c r="L14" s="228"/>
      <x:c r="M14" s="229"/>
      <x:c r="O14" s="227" t="n">
        <x:f>H9*10/100</x:f>
        <x:v>0</x:v>
      </x:c>
      <x:c r="P14" s="228"/>
      <x:c r="Q14" s="228"/>
      <x:c r="R14" s="228"/>
      <x:c r="S14" s="229"/>
      <x:c r="V14" s="227" t="n">
        <x:f>H9*10/100</x:f>
        <x:v>0</x:v>
      </x:c>
      <x:c r="W14" s="228"/>
      <x:c r="X14" s="228"/>
      <x:c r="Y14" s="228"/>
      <x:c r="Z14" s="228"/>
      <x:c r="AA14" s="229"/>
      <x:c r="AB14" s="188"/>
      <x:c r="AC14" s="1"/>
    </x:row>
    <x:row r="15" ht="60" customHeight="1"/>
    <x:row r="16" s="2" customFormat="1" ht="15.75">
      <x:c r="C16" s="261" t="s">
        <x:v>58</x:v>
      </x:c>
      <x:c r="D16" s="262"/>
      <x:c r="F16" s="263" t="s">
        <x:v>58</x:v>
      </x:c>
      <x:c r="G16" s="264"/>
      <x:c r="H16" s="10"/>
      <x:c r="I16" s="265" t="s">
        <x:v>59</x:v>
      </x:c>
      <x:c r="J16" s="266"/>
      <x:c r="L16" s="267" t="s">
        <x:v>60</x:v>
      </x:c>
      <x:c r="M16" s="268"/>
      <x:c r="O16" s="269" t="s">
        <x:v>61</x:v>
      </x:c>
      <x:c r="P16" s="270"/>
      <x:c r="R16" s="269" t="s">
        <x:v>62</x:v>
      </x:c>
      <x:c r="S16" s="270"/>
      <x:c r="T16" s="10"/>
      <x:c r="W16" s="271" t="s">
        <x:v>63</x:v>
      </x:c>
      <x:c r="X16" s="272"/>
      <x:c r="Y16" s="273"/>
      <x:c r="Z16" s="10"/>
      <x:c r="AA16" s="10"/>
      <x:c r="AB16" s="10"/>
      <x:c r="AC16" s="247" t="s">
        <x:v>64</x:v>
      </x:c>
      <x:c r="AD16" s="248"/>
    </x:row>
    <x:row r="17" ht="16.5">
      <x:c r="C17" s="249" t="s">
        <x:v>65</x:v>
      </x:c>
      <x:c r="D17" s="250"/>
      <x:c r="E17" s="39" t="s">
        <x:v>66</x:v>
      </x:c>
      <x:c r="F17" s="251" t="s">
        <x:v>67</x:v>
      </x:c>
      <x:c r="G17" s="252"/>
      <x:c r="H17" s="8"/>
      <x:c r="I17" s="253"/>
      <x:c r="J17" s="254"/>
      <x:c r="K17" s="40" t="s">
        <x:v>68</x:v>
      </x:c>
      <x:c r="L17" s="255" t="s">
        <x:v>69</x:v>
      </x:c>
      <x:c r="M17" s="256"/>
      <x:c r="O17" s="257" t="s">
        <x:v>70</x:v>
      </x:c>
      <x:c r="P17" s="258"/>
      <x:c r="Q17" s="40" t="s">
        <x:v>66</x:v>
      </x:c>
      <x:c r="R17" s="257" t="s">
        <x:v>71</x:v>
      </x:c>
      <x:c r="S17" s="258"/>
      <x:c r="T17" s="8"/>
      <x:c r="W17" s="274" t="s">
        <x:v>32</x:v>
      </x:c>
      <x:c r="X17" s="275"/>
      <x:c r="Y17" s="276"/>
      <x:c r="Z17" s="8"/>
      <x:c r="AA17" s="8"/>
      <x:c r="AB17" s="8"/>
      <x:c r="AC17" s="259" t="s">
        <x:v>72</x:v>
      </x:c>
      <x:c r="AD17" s="260"/>
    </x:row>
    <x:row r="18" ht="21.75">
      <x:c r="C18" s="283" t="n">
        <x:f>C14/2</x:f>
        <x:v>0</x:v>
      </x:c>
      <x:c r="D18" s="284"/>
      <x:c r="E18" s="39" t="s">
        <x:v>73</x:v>
      </x:c>
      <x:c r="F18" s="285" t="n">
        <x:f>C14/2</x:f>
        <x:v>0</x:v>
      </x:c>
      <x:c r="G18" s="286"/>
      <x:c r="H18" s="1"/>
      <x:c r="I18" s="287" t="n">
        <x:f>I14*50/100</x:f>
        <x:v>0</x:v>
      </x:c>
      <x:c r="J18" s="288"/>
      <x:c r="L18" s="289" t="n">
        <x:f>I14*50/100</x:f>
        <x:v>0</x:v>
      </x:c>
      <x:c r="M18" s="290"/>
      <x:c r="O18" s="291" t="n">
        <x:f>O14*50/100</x:f>
        <x:v>0</x:v>
      </x:c>
      <x:c r="P18" s="292"/>
      <x:c r="Q18" s="41" t="s">
        <x:v>73</x:v>
      </x:c>
      <x:c r="R18" s="291" t="n">
        <x:f>O14*50/100</x:f>
        <x:v>0</x:v>
      </x:c>
      <x:c r="S18" s="292"/>
      <x:c r="T18" s="1"/>
      <x:c r="W18" s="293" t="n">
        <x:f>V14</x:f>
        <x:v>0</x:v>
      </x:c>
      <x:c r="X18" s="294"/>
      <x:c r="Y18" s="295"/>
      <x:c r="Z18" s="1"/>
      <x:c r="AA18" s="1"/>
      <x:c r="AB18" s="1"/>
      <x:c r="AC18" s="277" t="n">
        <x:f>U69</x:f>
        <x:v>0</x:v>
      </x:c>
      <x:c r="AD18" s="278"/>
    </x:row>
    <x:row r="19" s="5" customFormat="1" ht="21.75">
      <x:c r="C19" s="279" t="s">
        <x:v>74</x:v>
      </x:c>
      <x:c r="D19" s="280"/>
      <x:c r="F19" s="281" t="s">
        <x:v>75</x:v>
      </x:c>
      <x:c r="G19" s="282"/>
      <x:c r="I19" s="281" t="s">
        <x:v>76</x:v>
      </x:c>
      <x:c r="J19" s="282"/>
      <x:c r="L19" s="281" t="s">
        <x:v>77</x:v>
      </x:c>
      <x:c r="M19" s="282"/>
      <x:c r="O19" s="281" t="s">
        <x:v>78</x:v>
      </x:c>
      <x:c r="P19" s="282"/>
      <x:c r="R19" s="281" t="s">
        <x:v>79</x:v>
      </x:c>
      <x:c r="S19" s="282"/>
      <x:c r="T19" s="8"/>
      <x:c r="W19" s="281" t="s">
        <x:v>80</x:v>
      </x:c>
      <x:c r="X19" s="296"/>
      <x:c r="Y19" s="282"/>
      <x:c r="Z19" s="8"/>
      <x:c r="AA19" s="8"/>
      <x:c r="AB19" s="8"/>
      <x:c r="AC19" s="281" t="s">
        <x:v>81</x:v>
      </x:c>
      <x:c r="AD19" s="282"/>
      <x:c r="AG19" s="53" t="s">
        <x:v>82</x:v>
      </x:c>
    </x:row>
    <x:row r="20" ht="21.75">
      <x:c r="B20" s="50" t="s">
        <x:v>83</x:v>
      </x:c>
      <x:c r="C20" s="306"/>
      <x:c r="D20" s="307"/>
      <x:c r="F20" s="318"/>
      <x:c r="G20" s="319"/>
      <x:c r="H20" s="1"/>
      <x:c r="I20" s="318"/>
      <x:c r="J20" s="319"/>
      <x:c r="L20" s="318"/>
      <x:c r="M20" s="319"/>
      <x:c r="O20" s="318"/>
      <x:c r="P20" s="319"/>
      <x:c r="R20" s="318"/>
      <x:c r="S20" s="319"/>
      <x:c r="T20" s="320"/>
      <x:c r="U20" s="321"/>
      <x:c r="V20" s="322"/>
      <x:c r="W20" s="306"/>
      <x:c r="X20" s="323"/>
      <x:c r="Y20" s="307"/>
      <x:c r="Z20" s="1"/>
      <x:c r="AA20" s="1"/>
      <x:c r="AB20" s="130"/>
      <x:c r="AC20" s="306">
        <x:v>0</x:v>
      </x:c>
      <x:c r="AD20" s="307"/>
      <x:c r="AG20" s="54" t="n">
        <x:f>SUM(C20:AD20)</x:f>
        <x:v>0</x:v>
      </x:c>
    </x:row>
    <x:row r="21" ht="21.75">
      <x:c r="C21" s="1"/>
      <x:c r="D21" s="1"/>
      <x:c r="F21" s="1"/>
      <x:c r="G21" s="1"/>
      <x:c r="H21" s="1"/>
      <x:c r="I21" s="1"/>
      <x:c r="J21" s="1"/>
      <x:c r="L21" s="1"/>
      <x:c r="M21" s="1"/>
      <x:c r="O21" s="1"/>
      <x:c r="P21" s="1"/>
      <x:c r="R21" s="1"/>
      <x:c r="S21" s="1"/>
      <x:c r="T21" s="1"/>
      <x:c r="W21" s="1"/>
      <x:c r="X21" s="1"/>
      <x:c r="Y21" s="1"/>
      <x:c r="Z21" s="1"/>
      <x:c r="AA21" s="1"/>
      <x:c r="AB21" s="1"/>
      <x:c r="AC21" s="1"/>
      <x:c r="AD21" s="1"/>
    </x:row>
    <x:row r="22" ht="21.75">
      <x:c r="B22" s="50" t="s">
        <x:v>84</x:v>
      </x:c>
      <x:c r="C22" s="308" t="n">
        <x:f>P33+P31+P29</x:f>
        <x:v>0</x:v>
      </x:c>
      <x:c r="D22" s="309"/>
      <x:c r="F22" s="310" t="n">
        <x:f>P35+P37+P39+P43+P41</x:f>
        <x:v>0</x:v>
      </x:c>
      <x:c r="G22" s="311"/>
      <x:c r="H22" s="1"/>
      <x:c r="I22" s="312" t="n">
        <x:f>P45+P47+P49+P51+P53</x:f>
        <x:v>0</x:v>
      </x:c>
      <x:c r="J22" s="313"/>
      <x:c r="L22" s="314" t="n">
        <x:f>P55+P57++P59</x:f>
        <x:v>0</x:v>
      </x:c>
      <x:c r="M22" s="315"/>
      <x:c r="O22" s="316" t="n">
        <x:f>P61</x:f>
        <x:v>0</x:v>
      </x:c>
      <x:c r="P22" s="317"/>
      <x:c r="R22" s="316" t="n">
        <x:f>P63</x:f>
        <x:v>0</x:v>
      </x:c>
      <x:c r="S22" s="317"/>
      <x:c r="T22" s="1"/>
      <x:c r="W22" s="293" t="n">
        <x:f>P65</x:f>
        <x:v>0</x:v>
      </x:c>
      <x:c r="X22" s="294"/>
      <x:c r="Y22" s="295"/>
      <x:c r="Z22" s="1"/>
      <x:c r="AA22" s="1"/>
      <x:c r="AB22" s="1"/>
      <x:c r="AC22" s="277" t="n">
        <x:f>P69</x:f>
        <x:v>0</x:v>
      </x:c>
      <x:c r="AD22" s="278"/>
    </x:row>
    <x:row r="23" ht="12" customHeight="1">
      <x:c r="C23" s="1"/>
      <x:c r="D23" s="1"/>
      <x:c r="F23" s="1"/>
      <x:c r="G23" s="1"/>
      <x:c r="H23" s="1"/>
      <x:c r="I23" s="1"/>
      <x:c r="J23" s="1"/>
      <x:c r="L23" s="1"/>
      <x:c r="M23" s="1"/>
      <x:c r="O23" s="1"/>
      <x:c r="P23" s="1"/>
      <x:c r="R23" s="1"/>
      <x:c r="S23" s="1"/>
      <x:c r="T23" s="1"/>
      <x:c r="W23" s="1"/>
      <x:c r="X23" s="1"/>
      <x:c r="Y23" s="1"/>
      <x:c r="Z23" s="1"/>
      <x:c r="AA23" s="1"/>
      <x:c r="AB23" s="1"/>
      <x:c r="AC23" s="1"/>
      <x:c r="AD23" s="1"/>
    </x:row>
    <x:row r="24" ht="12" customHeight="1">
      <x:c r="C24" s="1"/>
      <x:c r="D24" s="1"/>
      <x:c r="F24" s="1"/>
      <x:c r="G24" s="1"/>
      <x:c r="H24" s="1"/>
      <x:c r="I24" s="1"/>
      <x:c r="J24" s="1"/>
      <x:c r="L24" s="1"/>
      <x:c r="M24" s="1"/>
      <x:c r="O24" s="1"/>
      <x:c r="P24" s="1"/>
      <x:c r="R24" s="1"/>
      <x:c r="S24" s="1"/>
      <x:c r="T24" s="1"/>
    </x:row>
    <x:row r="25" ht="12" customHeight="1">
      <x:c r="C25" s="1"/>
      <x:c r="D25" s="1"/>
      <x:c r="F25" s="1"/>
      <x:c r="G25" s="1"/>
      <x:c r="H25" s="1"/>
      <x:c r="I25" s="1"/>
      <x:c r="J25" s="1"/>
      <x:c r="L25" s="1"/>
      <x:c r="M25" s="1"/>
      <x:c r="O25" s="1"/>
      <x:c r="P25" s="1"/>
      <x:c r="R25" s="1"/>
      <x:c r="S25" s="1"/>
      <x:c r="T25" s="1"/>
    </x:row>
    <x:row r="26" ht="12" customHeight="1">
      <x:c r="C26" s="1"/>
      <x:c r="D26" s="1"/>
      <x:c r="E26" s="3"/>
      <x:c r="F26" s="1"/>
      <x:c r="G26" s="1"/>
      <x:c r="H26" s="1"/>
      <x:c r="I26" s="37"/>
      <x:c r="J26" s="37"/>
      <x:c r="K26" s="24"/>
      <x:c r="L26" s="1"/>
      <x:c r="N26" s="24"/>
      <x:c r="O26" s="37"/>
      <x:c r="P26" s="1"/>
      <x:c r="R26" s="1"/>
      <x:c r="S26" s="1"/>
      <x:c r="T26" s="1"/>
    </x:row>
    <x:row r="27" s="2" customFormat="1" ht="17.450000762939453" customHeight="1">
      <x:c r="B27" s="297" t="s">
        <x:v>85</x:v>
      </x:c>
      <x:c r="C27" s="298"/>
      <x:c r="D27" s="298"/>
      <x:c r="E27" s="298"/>
      <x:c r="F27" s="299"/>
      <x:c r="G27" s="58" t="s">
        <x:v>86</x:v>
      </x:c>
      <x:c r="H27" s="300" t="s">
        <x:v>87</x:v>
      </x:c>
      <x:c r="I27" s="301"/>
      <x:c r="J27" s="301"/>
      <x:c r="K27" s="302"/>
      <x:c r="L27" s="300" t="s">
        <x:v>88</x:v>
      </x:c>
      <x:c r="M27" s="302"/>
      <x:c r="N27" s="303" t="s">
        <x:v>89</x:v>
      </x:c>
      <x:c r="O27" s="304"/>
      <x:c r="P27" s="164" t="s">
        <x:v>90</x:v>
      </x:c>
      <x:c r="Q27" s="165" t="s">
        <x:v>91</x:v>
      </x:c>
      <x:c r="R27" s="166" t="s">
        <x:v>92</x:v>
      </x:c>
      <x:c r="S27" s="166" t="s">
        <x:v>93</x:v>
      </x:c>
      <x:c r="T27" s="167"/>
      <x:c r="U27" s="300" t="s">
        <x:v>94</x:v>
      </x:c>
      <x:c r="V27" s="301"/>
      <x:c r="W27" s="305"/>
      <x:c r="X27" s="168"/>
      <x:c r="Y27" s="300" t="s">
        <x:v>95</x:v>
      </x:c>
      <x:c r="Z27" s="301"/>
      <x:c r="AA27" s="305"/>
      <x:c r="AB27" s="169"/>
      <x:c r="AC27" s="170" t="s">
        <x:v>96</x:v>
      </x:c>
      <x:c r="AD27" s="56"/>
      <x:c r="AE27" s="170" t="s">
        <x:v>97</x:v>
      </x:c>
      <x:c r="AF27" s="56"/>
      <x:c r="AG27" s="170" t="s">
        <x:v>98</x:v>
      </x:c>
      <x:c r="AH27" s="56"/>
      <x:c r="AI27" s="170" t="s">
        <x:v>99</x:v>
      </x:c>
      <x:c r="AJ27" s="56"/>
      <x:c r="AK27" s="58" t="s">
        <x:v>100</x:v>
      </x:c>
    </x:row>
    <x:row r="28" ht="17.100000381469727" customHeight="1">
      <x:c r="B28" s="8"/>
      <x:c r="C28" s="45"/>
      <x:c r="D28" s="45"/>
      <x:c r="E28" s="45"/>
      <x:c r="F28" s="45"/>
      <x:c r="G28" s="34"/>
      <x:c r="H28" s="34"/>
      <x:c r="I28" s="34"/>
      <x:c r="J28" s="34"/>
      <x:c r="K28" s="34"/>
      <x:c r="L28" s="34"/>
      <x:c r="M28" s="34"/>
      <x:c r="N28" s="34"/>
      <x:c r="O28" s="34"/>
      <x:c r="P28" s="35"/>
      <x:c r="Q28" s="34"/>
      <x:c r="R28" s="35"/>
      <x:c r="S28" s="35"/>
      <x:c r="T28" s="32"/>
      <x:c r="U28" s="33"/>
      <x:c r="V28" s="34"/>
      <x:c r="W28" s="36"/>
      <x:c r="Y28" s="8"/>
      <x:c r="Z28" s="8"/>
      <x:c r="AA28" s="3"/>
      <x:c r="AB28" s="3"/>
      <x:c r="AC28" s="5"/>
      <x:c r="AD28" s="5"/>
      <x:c r="AE28" s="5"/>
      <x:c r="AF28" s="5"/>
      <x:c r="AG28" s="5"/>
      <x:c r="AH28" s="5"/>
      <x:c r="AI28" s="5"/>
      <x:c r="AJ28" s="5"/>
      <x:c r="AK28" s="8"/>
    </x:row>
    <x:row r="29" ht="16.5" customHeight="1">
      <x:c r="B29" s="11" t="s">
        <x:v>101</x:v>
      </x:c>
      <x:c r="C29" s="351" t="s">
        <x:v>102</x:v>
      </x:c>
      <x:c r="D29" s="352"/>
      <x:c r="E29" s="352"/>
      <x:c r="F29" s="353"/>
      <x:c r="G29" s="18" t="s">
        <x:v>103</x:v>
      </x:c>
      <x:c r="H29" s="337" t="s">
        <x:v>104</x:v>
      </x:c>
      <x:c r="I29" s="337"/>
      <x:c r="J29" s="337"/>
      <x:c r="K29" s="337"/>
      <x:c r="L29" s="338" t="n">
        <x:f>C20/3</x:f>
        <x:v>0</x:v>
      </x:c>
      <x:c r="M29" s="339"/>
      <x:c r="N29" s="340" t="n">
        <x:f>(C20+F20)-N31-N33-N35-N37-N39-N41-N43</x:f>
        <x:v>0</x:v>
      </x:c>
      <x:c r="O29" s="340"/>
      <x:c r="P29" s="182">
        <x:v>0</x:v>
      </x:c>
      <x:c r="Q29" s="183">
        <x:v>0</x:v>
      </x:c>
      <x:c r="R29" s="157" t="n">
        <x:f>IF(N29&gt;=P29,0,IF(P29&gt;N29,P29-N29,""))</x:f>
        <x:v>0</x:v>
      </x:c>
      <x:c r="S29" s="136" t="n">
        <x:f>IF(N29=0,0,N29-P29+R29)</x:f>
        <x:v>0</x:v>
      </x:c>
      <x:c r="T29" s="156"/>
      <x:c r="U29" s="341" t="n">
        <x:f>P29+S29-R29</x:f>
        <x:v>0</x:v>
      </x:c>
      <x:c r="V29" s="342"/>
      <x:c r="W29" s="343"/>
      <x:c r="X29" s="2"/>
      <x:c r="Y29" s="334"/>
      <x:c r="Z29" s="335"/>
      <x:c r="AA29" s="336"/>
      <x:c r="AB29" s="131"/>
      <x:c r="AC29" s="171" t="n">
        <x:f>'Dividendenermittlung Neuanlage'!Z9</x:f>
        <x:v>0</x:v>
      </x:c>
      <x:c r="AD29" s="172"/>
      <x:c r="AE29" s="172"/>
      <x:c r="AF29" s="172"/>
      <x:c r="AG29" s="171" t="n">
        <x:f>'Dividendenermittlung im Bestand'!AB9</x:f>
        <x:v>0</x:v>
      </x:c>
      <x:c r="AH29" s="172"/>
      <x:c r="AI29" s="172"/>
      <x:c r="AJ29" s="172"/>
      <x:c r="AK29" s="2"/>
    </x:row>
    <x:row r="30" ht="9.949999809265137" customHeight="1">
      <x:c r="B30" s="6"/>
      <x:c r="H30" s="20"/>
      <x:c r="I30" s="20"/>
      <x:c r="J30" s="20"/>
      <x:c r="K30" s="20"/>
      <x:c r="L30" s="137"/>
      <x:c r="M30" s="2"/>
      <x:c r="N30" s="138"/>
      <x:c r="O30" s="138"/>
      <x:c r="P30" s="139"/>
      <x:c r="Q30" s="140"/>
      <x:c r="R30" s="139"/>
      <x:c r="S30" s="141"/>
      <x:c r="T30" s="156"/>
      <x:c r="U30" s="173"/>
      <x:c r="V30" s="137"/>
      <x:c r="W30" s="174"/>
      <x:c r="X30" s="2"/>
      <x:c r="Y30" s="137"/>
      <x:c r="Z30" s="137"/>
      <x:c r="AA30" s="2"/>
      <x:c r="AB30" s="2"/>
      <x:c r="AC30" s="172"/>
      <x:c r="AD30" s="172"/>
      <x:c r="AE30" s="172"/>
      <x:c r="AF30" s="172"/>
      <x:c r="AG30" s="172"/>
      <x:c r="AH30" s="172"/>
      <x:c r="AI30" s="172"/>
      <x:c r="AJ30" s="172"/>
      <x:c r="AK30" s="2"/>
    </x:row>
    <x:row r="31" ht="16.5" customHeight="1">
      <x:c r="B31" s="12" t="s">
        <x:v>105</x:v>
      </x:c>
      <x:c r="C31" s="354" t="s">
        <x:v>106</x:v>
      </x:c>
      <x:c r="D31" s="355"/>
      <x:c r="E31" s="355"/>
      <x:c r="F31" s="356"/>
      <x:c r="G31" s="4" t="s">
        <x:v>107</x:v>
      </x:c>
      <x:c r="H31" s="327" t="s">
        <x:v>108</x:v>
      </x:c>
      <x:c r="I31" s="327"/>
      <x:c r="J31" s="327"/>
      <x:c r="K31" s="327"/>
      <x:c r="L31" s="328" t="n">
        <x:f>C20/3</x:f>
        <x:v>0</x:v>
      </x:c>
      <x:c r="M31" s="329"/>
      <x:c r="N31" s="330"/>
      <x:c r="O31" s="330"/>
      <x:c r="P31" s="184">
        <x:v>0</x:v>
      </x:c>
      <x:c r="Q31" s="185">
        <x:v>0</x:v>
      </x:c>
      <x:c r="R31" s="143" t="n">
        <x:f>IF(N31&gt;=P31,0,IF(P31&gt;N31,P31-N31,""))</x:f>
        <x:v>0</x:v>
      </x:c>
      <x:c r="S31" s="146" t="n">
        <x:f t="shared" ref="S31:S35" si="0">IF(N31=0,0,N31-P31+R31)</x:f>
        <x:v>0</x:v>
      </x:c>
      <x:c r="T31" s="156"/>
      <x:c r="U31" s="331" t="n">
        <x:f>P31-R31+S31</x:f>
        <x:v>0</x:v>
      </x:c>
      <x:c r="V31" s="332"/>
      <x:c r="W31" s="333"/>
      <x:c r="X31" s="2"/>
      <x:c r="Y31" s="334"/>
      <x:c r="Z31" s="335"/>
      <x:c r="AA31" s="336"/>
      <x:c r="AB31" s="131"/>
      <x:c r="AC31" s="171" t="n">
        <x:f>'Dividendenermittlung Neuanlage'!Z11</x:f>
        <x:v>0</x:v>
      </x:c>
      <x:c r="AD31" s="172"/>
      <x:c r="AE31" s="172"/>
      <x:c r="AF31" s="172"/>
      <x:c r="AG31" s="171" t="n">
        <x:f>'Dividendenermittlung im Bestand'!AB11</x:f>
        <x:v>0</x:v>
      </x:c>
      <x:c r="AH31" s="172"/>
      <x:c r="AI31" s="172"/>
      <x:c r="AJ31" s="172"/>
      <x:c r="AK31" s="2"/>
    </x:row>
    <x:row r="32" ht="9.949999809265137" customHeight="1">
      <x:c r="B32" s="6"/>
      <x:c r="G32" s="3"/>
      <x:c r="H32" s="20"/>
      <x:c r="I32" s="20"/>
      <x:c r="J32" s="20"/>
      <x:c r="K32" s="20"/>
      <x:c r="L32" s="137"/>
      <x:c r="M32" s="2"/>
      <x:c r="N32" s="138"/>
      <x:c r="O32" s="138"/>
      <x:c r="P32" s="139"/>
      <x:c r="Q32" s="140"/>
      <x:c r="R32" s="142"/>
      <x:c r="S32" s="141"/>
      <x:c r="T32" s="156"/>
      <x:c r="U32" s="173"/>
      <x:c r="V32" s="137"/>
      <x:c r="W32" s="174"/>
      <x:c r="X32" s="2"/>
      <x:c r="Y32" s="137"/>
      <x:c r="Z32" s="137"/>
      <x:c r="AA32" s="2"/>
      <x:c r="AB32" s="2"/>
      <x:c r="AC32" s="172"/>
      <x:c r="AD32" s="172"/>
      <x:c r="AE32" s="172"/>
      <x:c r="AF32" s="172"/>
      <x:c r="AG32" s="172"/>
      <x:c r="AH32" s="172"/>
      <x:c r="AI32" s="172"/>
      <x:c r="AJ32" s="172"/>
      <x:c r="AK32" s="2"/>
    </x:row>
    <x:row r="33" ht="16.5" customHeight="1">
      <x:c r="B33" s="21" t="s">
        <x:v>109</x:v>
      </x:c>
      <x:c r="C33" s="324" t="s">
        <x:v>110</x:v>
      </x:c>
      <x:c r="D33" s="325"/>
      <x:c r="E33" s="325"/>
      <x:c r="F33" s="326"/>
      <x:c r="G33" s="7">
        <x:v>984811</x:v>
      </x:c>
      <x:c r="H33" s="344" t="s">
        <x:v>108</x:v>
      </x:c>
      <x:c r="I33" s="344"/>
      <x:c r="J33" s="344"/>
      <x:c r="K33" s="344"/>
      <x:c r="L33" s="345" t="n">
        <x:f>C20/3</x:f>
        <x:v>0</x:v>
      </x:c>
      <x:c r="M33" s="346"/>
      <x:c r="N33" s="347"/>
      <x:c r="O33" s="347"/>
      <x:c r="P33" s="161">
        <x:v>0</x:v>
      </x:c>
      <x:c r="Q33" s="186">
        <x:v>0</x:v>
      </x:c>
      <x:c r="R33" s="149" t="n">
        <x:f>IF(N33&gt;=P33,0,IF(P33&gt;N33,P33-N33,""))</x:f>
        <x:v>0</x:v>
      </x:c>
      <x:c r="S33" s="152">
        <x:f t="shared" si="0"/>
        <x:v>0</x:v>
      </x:c>
      <x:c r="T33" s="156"/>
      <x:c r="U33" s="348" t="n">
        <x:f>P33-R33+S33</x:f>
        <x:v>0</x:v>
      </x:c>
      <x:c r="V33" s="349"/>
      <x:c r="W33" s="350"/>
      <x:c r="X33" s="2"/>
      <x:c r="Y33" s="334"/>
      <x:c r="Z33" s="335"/>
      <x:c r="AA33" s="336"/>
      <x:c r="AB33" s="131"/>
      <x:c r="AC33" s="171" t="n">
        <x:f>'Dividendenermittlung Neuanlage'!Z13</x:f>
        <x:v>0</x:v>
      </x:c>
      <x:c r="AD33" s="172"/>
      <x:c r="AE33" s="172"/>
      <x:c r="AF33" s="172"/>
      <x:c r="AG33" s="171" t="n">
        <x:f>'Dividendenermittlung im Bestand'!AB13</x:f>
        <x:v>0</x:v>
      </x:c>
      <x:c r="AH33" s="172"/>
      <x:c r="AI33" s="172"/>
      <x:c r="AJ33" s="172"/>
      <x:c r="AK33" s="175" t="n">
        <x:f>AC75+AG75</x:f>
        <x:v>0</x:v>
      </x:c>
      <x:c r="AL33" s="5"/>
    </x:row>
    <x:row r="34" ht="12" customHeight="1">
      <x:c r="B34" s="3"/>
      <x:c r="C34" s="113"/>
      <x:c r="D34" s="113"/>
      <x:c r="E34" s="113"/>
      <x:c r="F34" s="113"/>
      <x:c r="G34" s="3"/>
      <x:c r="H34" s="20"/>
      <x:c r="I34" s="20"/>
      <x:c r="J34" s="20"/>
      <x:c r="K34" s="20"/>
      <x:c r="L34" s="137"/>
      <x:c r="M34" s="2"/>
      <x:c r="N34" s="138"/>
      <x:c r="O34" s="138"/>
      <x:c r="P34" s="139"/>
      <x:c r="Q34" s="140"/>
      <x:c r="R34" s="139"/>
      <x:c r="S34" s="139"/>
      <x:c r="T34" s="156"/>
      <x:c r="U34" s="137"/>
      <x:c r="V34" s="137"/>
      <x:c r="W34" s="2"/>
      <x:c r="X34" s="2"/>
      <x:c r="Y34" s="137"/>
      <x:c r="Z34" s="137"/>
      <x:c r="AA34" s="2"/>
      <x:c r="AB34" s="2"/>
      <x:c r="AC34" s="172"/>
      <x:c r="AD34" s="172"/>
      <x:c r="AE34" s="172"/>
      <x:c r="AF34" s="172"/>
      <x:c r="AG34" s="172"/>
      <x:c r="AH34" s="172"/>
      <x:c r="AI34" s="172"/>
      <x:c r="AJ34" s="172"/>
      <x:c r="AK34" s="2"/>
    </x:row>
    <x:row r="35" ht="16.5" customHeight="1">
      <x:c r="B35" s="29" t="s">
        <x:v>111</x:v>
      </x:c>
      <x:c r="C35" s="455" t="s">
        <x:v>112</x:v>
      </x:c>
      <x:c r="D35" s="456"/>
      <x:c r="E35" s="456"/>
      <x:c r="F35" s="457"/>
      <x:c r="G35" s="18" t="s">
        <x:v>113</x:v>
      </x:c>
      <x:c r="H35" s="337" t="s">
        <x:v>114</x:v>
      </x:c>
      <x:c r="I35" s="337"/>
      <x:c r="J35" s="337"/>
      <x:c r="K35" s="337"/>
      <x:c r="L35" s="338" t="n">
        <x:f>F20/5</x:f>
        <x:v>0</x:v>
      </x:c>
      <x:c r="M35" s="339"/>
      <x:c r="N35" s="363">
        <x:v>0</x:v>
      </x:c>
      <x:c r="O35" s="364"/>
      <x:c r="P35" s="182">
        <x:v>0</x:v>
      </x:c>
      <x:c r="Q35" s="183">
        <x:v>0</x:v>
      </x:c>
      <x:c r="R35" s="157" t="n">
        <x:f>IF(N35&gt;=P35,0,IF(P35&gt;N35,P35-N35,""))</x:f>
        <x:v>0</x:v>
      </x:c>
      <x:c r="S35" s="136">
        <x:f t="shared" si="0"/>
        <x:v>0</x:v>
      </x:c>
      <x:c r="T35" s="156"/>
      <x:c r="U35" s="365" t="n">
        <x:f>P35-R35+S35</x:f>
        <x:v>0</x:v>
      </x:c>
      <x:c r="V35" s="366"/>
      <x:c r="W35" s="367"/>
      <x:c r="X35" s="2"/>
      <x:c r="Y35" s="362"/>
      <x:c r="Z35" s="362"/>
      <x:c r="AA35" s="368"/>
      <x:c r="AB35" s="131"/>
      <x:c r="AC35" s="172"/>
      <x:c r="AD35" s="172"/>
      <x:c r="AE35" s="171" t="n">
        <x:f>'Dividendenermittlung Neuanlage'!AA15</x:f>
        <x:v>0</x:v>
      </x:c>
      <x:c r="AF35" s="172"/>
      <x:c r="AG35" s="172"/>
      <x:c r="AH35" s="172"/>
      <x:c r="AI35" s="171" t="n">
        <x:f>'Dividendenermittlung im Bestand'!AC15</x:f>
        <x:v>0</x:v>
      </x:c>
      <x:c r="AJ35" s="172"/>
      <x:c r="AK35" s="2"/>
    </x:row>
    <x:row r="36" ht="9.949999809265137" customHeight="1">
      <x:c r="B36" s="6"/>
      <x:c r="G36" s="3"/>
      <x:c r="H36" s="20"/>
      <x:c r="I36" s="20"/>
      <x:c r="J36" s="20"/>
      <x:c r="K36" s="20"/>
      <x:c r="L36" s="137"/>
      <x:c r="M36" s="2"/>
      <x:c r="N36" s="138"/>
      <x:c r="O36" s="138"/>
      <x:c r="P36" s="139"/>
      <x:c r="Q36" s="140"/>
      <x:c r="R36" s="139"/>
      <x:c r="S36" s="141"/>
      <x:c r="T36" s="156"/>
      <x:c r="U36" s="173"/>
      <x:c r="V36" s="137"/>
      <x:c r="W36" s="174"/>
      <x:c r="X36" s="2"/>
      <x:c r="Y36" s="137"/>
      <x:c r="Z36" s="137"/>
      <x:c r="AA36" s="2"/>
      <x:c r="AB36" s="2"/>
      <x:c r="AC36" s="172"/>
      <x:c r="AD36" s="172"/>
      <x:c r="AE36" s="172"/>
      <x:c r="AF36" s="172"/>
      <x:c r="AG36" s="172"/>
      <x:c r="AH36" s="172"/>
      <x:c r="AI36" s="172"/>
      <x:c r="AJ36" s="172"/>
      <x:c r="AK36" s="2"/>
    </x:row>
    <x:row r="37" ht="16.5" customHeight="1">
      <x:c r="B37" s="30" t="s">
        <x:v>115</x:v>
      </x:c>
      <x:c r="C37" s="458" t="s">
        <x:v>116</x:v>
      </x:c>
      <x:c r="D37" s="459"/>
      <x:c r="E37" s="459"/>
      <x:c r="F37" s="460"/>
      <x:c r="G37" s="4" t="s">
        <x:v>117</x:v>
      </x:c>
      <x:c r="H37" s="327" t="s">
        <x:v>118</x:v>
      </x:c>
      <x:c r="I37" s="327"/>
      <x:c r="J37" s="327"/>
      <x:c r="K37" s="327"/>
      <x:c r="L37" s="328" t="n">
        <x:f>F20/5</x:f>
        <x:v>0</x:v>
      </x:c>
      <x:c r="M37" s="357"/>
      <x:c r="N37" s="330"/>
      <x:c r="O37" s="358"/>
      <x:c r="P37" s="184">
        <x:v>0</x:v>
      </x:c>
      <x:c r="Q37" s="185">
        <x:v>0</x:v>
      </x:c>
      <x:c r="R37" s="143" t="n">
        <x:f>IF(N37&gt;=P37,0,IF(P37&gt;N37,P37-N37,""))</x:f>
        <x:v>0</x:v>
      </x:c>
      <x:c r="S37" s="155" t="n">
        <x:f t="shared" ref="S37:S69" si="1">IF(N37=0,0,N37-P37+R37)</x:f>
        <x:v>0</x:v>
      </x:c>
      <x:c r="T37" s="156"/>
      <x:c r="U37" s="359" t="n">
        <x:f>P37-R37+S37</x:f>
        <x:v>0</x:v>
      </x:c>
      <x:c r="V37" s="360"/>
      <x:c r="W37" s="361"/>
      <x:c r="X37" s="2"/>
      <x:c r="Y37" s="362"/>
      <x:c r="Z37" s="362"/>
      <x:c r="AA37" s="368"/>
      <x:c r="AB37" s="131"/>
      <x:c r="AC37" s="172"/>
      <x:c r="AD37" s="172"/>
      <x:c r="AE37" s="171" t="n">
        <x:f>'Dividendenermittlung Neuanlage'!AA17</x:f>
        <x:v>0</x:v>
      </x:c>
      <x:c r="AF37" s="172"/>
      <x:c r="AG37" s="172"/>
      <x:c r="AH37" s="172"/>
      <x:c r="AI37" s="171" t="n">
        <x:f>'Dividendenermittlung im Bestand'!AC17</x:f>
        <x:v>0</x:v>
      </x:c>
      <x:c r="AJ37" s="172"/>
      <x:c r="AK37" s="2"/>
    </x:row>
    <x:row r="38" ht="9.949999809265137" customHeight="1">
      <x:c r="B38" s="6"/>
      <x:c r="G38" s="3"/>
      <x:c r="H38" s="20"/>
      <x:c r="I38" s="20"/>
      <x:c r="J38" s="20"/>
      <x:c r="K38" s="20"/>
      <x:c r="L38" s="137"/>
      <x:c r="M38" s="2"/>
      <x:c r="N38" s="138"/>
      <x:c r="O38" s="138"/>
      <x:c r="P38" s="139"/>
      <x:c r="Q38" s="140"/>
      <x:c r="R38" s="139"/>
      <x:c r="S38" s="141"/>
      <x:c r="T38" s="156"/>
      <x:c r="U38" s="173"/>
      <x:c r="V38" s="137"/>
      <x:c r="W38" s="174"/>
      <x:c r="X38" s="2"/>
      <x:c r="Y38" s="362"/>
      <x:c r="Z38" s="362"/>
      <x:c r="AA38" s="368"/>
      <x:c r="AB38" s="2"/>
      <x:c r="AC38" s="172"/>
      <x:c r="AD38" s="172"/>
      <x:c r="AE38" s="172"/>
      <x:c r="AF38" s="172"/>
      <x:c r="AG38" s="172"/>
      <x:c r="AH38" s="172"/>
      <x:c r="AI38" s="172"/>
      <x:c r="AJ38" s="172"/>
      <x:c r="AK38" s="2"/>
    </x:row>
    <x:row r="39" ht="16.5" customHeight="1">
      <x:c r="B39" s="30" t="s">
        <x:v>119</x:v>
      </x:c>
      <x:c r="C39" s="461" t="s">
        <x:v>120</x:v>
      </x:c>
      <x:c r="D39" s="461"/>
      <x:c r="E39" s="461"/>
      <x:c r="F39" s="461"/>
      <x:c r="G39" s="19" t="s">
        <x:v>121</x:v>
      </x:c>
      <x:c r="H39" s="327" t="s">
        <x:v>122</x:v>
      </x:c>
      <x:c r="I39" s="327"/>
      <x:c r="J39" s="327"/>
      <x:c r="K39" s="327"/>
      <x:c r="L39" s="328" t="n">
        <x:f>F20/5</x:f>
        <x:v>0</x:v>
      </x:c>
      <x:c r="M39" s="357"/>
      <x:c r="N39" s="330"/>
      <x:c r="O39" s="358"/>
      <x:c r="P39" s="184">
        <x:v>0</x:v>
      </x:c>
      <x:c r="Q39" s="185">
        <x:v>0</x:v>
      </x:c>
      <x:c r="R39" s="143" t="n">
        <x:f>IF(N39&gt;=P39,0,IF(P39&gt;N39,P39-N39,""))</x:f>
        <x:v>0</x:v>
      </x:c>
      <x:c r="S39" s="155">
        <x:f t="shared" si="1"/>
        <x:v>0</x:v>
      </x:c>
      <x:c r="T39" s="156"/>
      <x:c r="U39" s="359" t="n">
        <x:f>P39-R39+S39</x:f>
        <x:v>0</x:v>
      </x:c>
      <x:c r="V39" s="360"/>
      <x:c r="W39" s="361"/>
      <x:c r="X39" s="2"/>
      <x:c r="Y39" s="137"/>
      <x:c r="Z39" s="137"/>
      <x:c r="AA39" s="2"/>
      <x:c r="AB39" s="131"/>
      <x:c r="AC39" s="172"/>
      <x:c r="AD39" s="172"/>
      <x:c r="AE39" s="171" t="n">
        <x:f>'Dividendenermittlung Neuanlage'!AA19</x:f>
        <x:v>0</x:v>
      </x:c>
      <x:c r="AF39" s="172"/>
      <x:c r="AG39" s="172"/>
      <x:c r="AH39" s="172"/>
      <x:c r="AI39" s="171" t="n">
        <x:f>'Dividendenermittlung im Bestand'!AC19</x:f>
        <x:v>0</x:v>
      </x:c>
      <x:c r="AJ39" s="172"/>
      <x:c r="AK39" s="2"/>
    </x:row>
    <x:row r="40" ht="9.949999809265137" customHeight="1">
      <x:c r="B40" s="6"/>
      <x:c r="G40" s="3"/>
      <x:c r="H40" s="20"/>
      <x:c r="I40" s="20"/>
      <x:c r="J40" s="20"/>
      <x:c r="K40" s="20"/>
      <x:c r="L40" s="137"/>
      <x:c r="M40" s="2"/>
      <x:c r="N40" s="138"/>
      <x:c r="O40" s="138"/>
      <x:c r="P40" s="139"/>
      <x:c r="Q40" s="140"/>
      <x:c r="R40" s="139"/>
      <x:c r="S40" s="141"/>
      <x:c r="T40" s="156"/>
      <x:c r="U40" s="173"/>
      <x:c r="V40" s="137"/>
      <x:c r="W40" s="174"/>
      <x:c r="X40" s="2"/>
      <x:c r="Y40" s="137"/>
      <x:c r="Z40" s="137"/>
      <x:c r="AA40" s="2"/>
      <x:c r="AB40" s="2"/>
      <x:c r="AC40" s="172"/>
      <x:c r="AD40" s="172"/>
      <x:c r="AE40" s="172"/>
      <x:c r="AF40" s="172"/>
      <x:c r="AG40" s="172"/>
      <x:c r="AH40" s="172"/>
      <x:c r="AI40" s="172"/>
      <x:c r="AJ40" s="172"/>
      <x:c r="AK40" s="2"/>
    </x:row>
    <x:row r="41" ht="16.5" customHeight="1">
      <x:c r="B41" s="30" t="s">
        <x:v>123</x:v>
      </x:c>
      <x:c r="C41" s="458" t="s">
        <x:v>124</x:v>
      </x:c>
      <x:c r="D41" s="459"/>
      <x:c r="E41" s="459"/>
      <x:c r="F41" s="460"/>
      <x:c r="G41" s="19" t="s">
        <x:v>125</x:v>
      </x:c>
      <x:c r="H41" s="327" t="s">
        <x:v>126</x:v>
      </x:c>
      <x:c r="I41" s="327"/>
      <x:c r="J41" s="327"/>
      <x:c r="K41" s="327"/>
      <x:c r="L41" s="328" t="n">
        <x:f>F20/5</x:f>
        <x:v>0</x:v>
      </x:c>
      <x:c r="M41" s="357"/>
      <x:c r="N41" s="330"/>
      <x:c r="O41" s="358"/>
      <x:c r="P41" s="184">
        <x:v>0</x:v>
      </x:c>
      <x:c r="Q41" s="187">
        <x:v>0</x:v>
      </x:c>
      <x:c r="R41" s="143" t="n">
        <x:f>IF(N41&gt;=P41,0,IF(P41&gt;N41,P41-N41,""))</x:f>
        <x:v>0</x:v>
      </x:c>
      <x:c r="S41" s="155" t="n">
        <x:f t="shared" ref="S41" si="2">IF(N41=0,0,N41-P41+R41)</x:f>
        <x:v>0</x:v>
      </x:c>
      <x:c r="T41" s="156"/>
      <x:c r="U41" s="359" t="n">
        <x:f>P41-R41+S41</x:f>
        <x:v>0</x:v>
      </x:c>
      <x:c r="V41" s="360"/>
      <x:c r="W41" s="361"/>
      <x:c r="X41" s="2"/>
      <x:c r="Y41" s="362"/>
      <x:c r="Z41" s="362"/>
      <x:c r="AA41" s="368"/>
      <x:c r="AB41" s="131"/>
      <x:c r="AC41" s="172"/>
      <x:c r="AD41" s="172"/>
      <x:c r="AE41" s="171" t="n">
        <x:f>'Dividendenermittlung Neuanlage'!AA21</x:f>
        <x:v>0</x:v>
      </x:c>
      <x:c r="AF41" s="172"/>
      <x:c r="AG41" s="172"/>
      <x:c r="AH41" s="172"/>
      <x:c r="AI41" s="171" t="n">
        <x:f>'Dividendenermittlung im Bestand'!AC21</x:f>
        <x:v>0</x:v>
      </x:c>
      <x:c r="AJ41" s="172"/>
      <x:c r="AK41" s="2"/>
    </x:row>
    <x:row r="42" ht="9.949999809265137" customHeight="1">
      <x:c r="B42" s="6"/>
      <x:c r="G42" s="3"/>
      <x:c r="H42" s="20"/>
      <x:c r="I42" s="20"/>
      <x:c r="J42" s="20"/>
      <x:c r="K42" s="20"/>
      <x:c r="L42" s="137"/>
      <x:c r="M42" s="2"/>
      <x:c r="N42" s="138"/>
      <x:c r="O42" s="138"/>
      <x:c r="P42" s="139"/>
      <x:c r="Q42" s="140"/>
      <x:c r="R42" s="139"/>
      <x:c r="S42" s="141"/>
      <x:c r="T42" s="156"/>
      <x:c r="U42" s="173"/>
      <x:c r="V42" s="137"/>
      <x:c r="W42" s="174"/>
      <x:c r="X42" s="2"/>
      <x:c r="Y42" s="137"/>
      <x:c r="Z42" s="137"/>
      <x:c r="AA42" s="2"/>
      <x:c r="AB42" s="2"/>
      <x:c r="AC42" s="2"/>
      <x:c r="AD42" s="2"/>
      <x:c r="AE42" s="172"/>
      <x:c r="AF42" s="2"/>
      <x:c r="AG42" s="2"/>
      <x:c r="AH42" s="2"/>
      <x:c r="AI42" s="172"/>
      <x:c r="AJ42" s="2"/>
      <x:c r="AK42" s="2"/>
    </x:row>
    <x:row r="43" ht="16.5" customHeight="1">
      <x:c r="B43" s="31" t="s">
        <x:v>127</x:v>
      </x:c>
      <x:c r="C43" s="398" t="s">
        <x:v>128</x:v>
      </x:c>
      <x:c r="D43" s="399"/>
      <x:c r="E43" s="399"/>
      <x:c r="F43" s="400"/>
      <x:c r="G43" s="19" t="s">
        <x:v>129</x:v>
      </x:c>
      <x:c r="H43" s="344" t="s">
        <x:v>118</x:v>
      </x:c>
      <x:c r="I43" s="344"/>
      <x:c r="J43" s="344"/>
      <x:c r="K43" s="344"/>
      <x:c r="L43" s="345" t="n">
        <x:f>F20/5</x:f>
        <x:v>0</x:v>
      </x:c>
      <x:c r="M43" s="374"/>
      <x:c r="N43" s="347"/>
      <x:c r="O43" s="375"/>
      <x:c r="P43" s="161">
        <x:v>0</x:v>
      </x:c>
      <x:c r="Q43" s="186">
        <x:v>0</x:v>
      </x:c>
      <x:c r="R43" s="149" t="n">
        <x:f>IF(N43&gt;=P43,0,IF(P43&gt;N43,P43-N43,""))</x:f>
        <x:v>0</x:v>
      </x:c>
      <x:c r="S43" s="152">
        <x:f t="shared" si="1"/>
        <x:v>0</x:v>
      </x:c>
      <x:c r="T43" s="156"/>
      <x:c r="U43" s="376" t="n">
        <x:f>P43-R43+S43</x:f>
        <x:v>0</x:v>
      </x:c>
      <x:c r="V43" s="377"/>
      <x:c r="W43" s="378"/>
      <x:c r="X43" s="2"/>
      <x:c r="Y43" s="362"/>
      <x:c r="Z43" s="362"/>
      <x:c r="AA43" s="362"/>
      <x:c r="AB43" s="131"/>
      <x:c r="AC43" s="2"/>
      <x:c r="AD43" s="2"/>
      <x:c r="AE43" s="171" t="n">
        <x:f>'Dividendenermittlung Neuanlage'!AA23</x:f>
        <x:v>0</x:v>
      </x:c>
      <x:c r="AF43" s="2"/>
      <x:c r="AG43" s="2"/>
      <x:c r="AH43" s="2"/>
      <x:c r="AI43" s="171" t="n">
        <x:f>'Dividendenermittlung im Bestand'!AC23</x:f>
        <x:v>0</x:v>
      </x:c>
      <x:c r="AJ43" s="2"/>
      <x:c r="AK43" s="175" t="n">
        <x:f>(AE35+AE37+AE39+AE41+AE43+AI35+AI37+AI39+AI41+AI43)*12</x:f>
        <x:v>0</x:v>
      </x:c>
    </x:row>
    <x:row r="44" ht="12" customHeight="1">
      <x:c r="B44" s="3"/>
      <x:c r="C44" s="113"/>
      <x:c r="D44" s="113"/>
      <x:c r="E44" s="113"/>
      <x:c r="F44" s="113"/>
      <x:c r="G44" s="3"/>
      <x:c r="H44" s="20"/>
      <x:c r="I44" s="20"/>
      <x:c r="J44" s="20"/>
      <x:c r="K44" s="20"/>
      <x:c r="L44" s="137"/>
      <x:c r="M44" s="2"/>
      <x:c r="N44" s="138"/>
      <x:c r="O44" s="138"/>
      <x:c r="P44" s="156"/>
      <x:c r="Q44" s="156"/>
      <x:c r="R44" s="139"/>
      <x:c r="S44" s="139"/>
      <x:c r="T44" s="156"/>
      <x:c r="U44" s="137"/>
      <x:c r="V44" s="137"/>
      <x:c r="W44" s="2"/>
      <x:c r="X44" s="2"/>
      <x:c r="Y44" s="137"/>
      <x:c r="Z44" s="137"/>
      <x:c r="AA44" s="2"/>
      <x:c r="AB44" s="2"/>
      <x:c r="AC44" s="2"/>
      <x:c r="AD44" s="2"/>
      <x:c r="AE44" s="2"/>
      <x:c r="AF44" s="2"/>
      <x:c r="AG44" s="2"/>
      <x:c r="AH44" s="2"/>
      <x:c r="AI44" s="172"/>
      <x:c r="AJ44" s="2"/>
      <x:c r="AK44" s="2"/>
    </x:row>
    <x:row r="45" ht="16.5" customHeight="1">
      <x:c r="B45" s="13" t="s">
        <x:v>130</x:v>
      </x:c>
      <x:c r="C45" s="440" t="s">
        <x:v>131</x:v>
      </x:c>
      <x:c r="D45" s="441"/>
      <x:c r="E45" s="441"/>
      <x:c r="F45" s="442"/>
      <x:c r="G45" s="18">
        <x:v>977856</x:v>
      </x:c>
      <x:c r="H45" s="337" t="s">
        <x:v>132</x:v>
      </x:c>
      <x:c r="I45" s="337"/>
      <x:c r="J45" s="337"/>
      <x:c r="K45" s="337"/>
      <x:c r="L45" s="338" t="n">
        <x:f>(I20*70/100)/3</x:f>
        <x:v>0</x:v>
      </x:c>
      <x:c r="M45" s="339"/>
      <x:c r="N45" s="340" t="n">
        <x:f>I20-N47-N49-N51-N53</x:f>
        <x:v>0</x:v>
      </x:c>
      <x:c r="O45" s="340"/>
      <x:c r="P45" s="369">
        <x:v>0</x:v>
      </x:c>
      <x:c r="Q45" s="370"/>
      <x:c r="R45" s="157" t="n">
        <x:f>IF(N45&gt;=P45,0,IF(P45&gt;N45,P45-N45,""))</x:f>
        <x:v>0</x:v>
      </x:c>
      <x:c r="S45" s="136">
        <x:f t="shared" si="1"/>
        <x:v>0</x:v>
      </x:c>
      <x:c r="T45" s="156"/>
      <x:c r="U45" s="371" t="n">
        <x:f>P45-R45+S45</x:f>
        <x:v>0</x:v>
      </x:c>
      <x:c r="V45" s="372"/>
      <x:c r="W45" s="373"/>
      <x:c r="X45" s="2"/>
      <x:c r="Y45" s="334"/>
      <x:c r="Z45" s="335"/>
      <x:c r="AA45" s="336"/>
      <x:c r="AB45" s="131"/>
      <x:c r="AC45" s="2"/>
      <x:c r="AD45" s="131"/>
      <x:c r="AE45" s="2"/>
      <x:c r="AF45" s="131"/>
      <x:c r="AG45" s="2"/>
      <x:c r="AH45" s="131"/>
      <x:c r="AI45" s="2"/>
      <x:c r="AJ45" s="131"/>
      <x:c r="AK45" s="176"/>
    </x:row>
    <x:row r="46" ht="9.949999809265137" customHeight="1">
      <x:c r="B46" s="6"/>
      <x:c r="G46" s="3"/>
      <x:c r="H46" s="20"/>
      <x:c r="I46" s="20"/>
      <x:c r="J46" s="20"/>
      <x:c r="K46" s="20"/>
      <x:c r="L46" s="137"/>
      <x:c r="M46" s="2"/>
      <x:c r="N46" s="138"/>
      <x:c r="O46" s="138"/>
      <x:c r="P46" s="156"/>
      <x:c r="Q46" s="156"/>
      <x:c r="R46" s="139"/>
      <x:c r="S46" s="141"/>
      <x:c r="T46" s="156"/>
      <x:c r="U46" s="173"/>
      <x:c r="V46" s="137"/>
      <x:c r="W46" s="174"/>
      <x:c r="X46" s="2"/>
      <x:c r="Y46" s="137"/>
      <x:c r="Z46" s="137"/>
      <x:c r="AA46" s="2"/>
      <x:c r="AB46" s="2"/>
      <x:c r="AC46" s="2"/>
      <x:c r="AD46" s="2"/>
      <x:c r="AE46" s="2"/>
      <x:c r="AF46" s="2"/>
      <x:c r="AG46" s="2"/>
      <x:c r="AH46" s="2"/>
      <x:c r="AI46" s="2"/>
      <x:c r="AJ46" s="2"/>
      <x:c r="AK46" s="2"/>
    </x:row>
    <x:row r="47" ht="16.5" customHeight="1">
      <x:c r="B47" s="14" t="s">
        <x:v>133</x:v>
      </x:c>
      <x:c r="C47" s="443" t="s">
        <x:v>134</x:v>
      </x:c>
      <x:c r="D47" s="444"/>
      <x:c r="E47" s="444"/>
      <x:c r="F47" s="445"/>
      <x:c r="G47" s="4">
        <x:v>515244</x:v>
      </x:c>
      <x:c r="H47" s="327" t="s">
        <x:v>135</x:v>
      </x:c>
      <x:c r="I47" s="327"/>
      <x:c r="J47" s="327"/>
      <x:c r="K47" s="327"/>
      <x:c r="L47" s="328" t="n">
        <x:f>(I20*70/100)/3</x:f>
        <x:v>0</x:v>
      </x:c>
      <x:c r="M47" s="357"/>
      <x:c r="N47" s="330"/>
      <x:c r="O47" s="330"/>
      <x:c r="P47" s="379">
        <x:v>0</x:v>
      </x:c>
      <x:c r="Q47" s="380"/>
      <x:c r="R47" s="143" t="n">
        <x:f>IF(N47&gt;=P47,0,IF(P47&gt;N47,P47-N47,""))</x:f>
        <x:v>0</x:v>
      </x:c>
      <x:c r="S47" s="146">
        <x:f t="shared" si="1"/>
        <x:v>0</x:v>
      </x:c>
      <x:c r="T47" s="156"/>
      <x:c r="U47" s="381" t="n">
        <x:f>P47-R47+S47</x:f>
        <x:v>0</x:v>
      </x:c>
      <x:c r="V47" s="382"/>
      <x:c r="W47" s="383"/>
      <x:c r="X47" s="2"/>
      <x:c r="Y47" s="334"/>
      <x:c r="Z47" s="335"/>
      <x:c r="AA47" s="336"/>
      <x:c r="AB47" s="131"/>
      <x:c r="AC47" s="2"/>
      <x:c r="AD47" s="2"/>
      <x:c r="AE47" s="2"/>
      <x:c r="AF47" s="2"/>
      <x:c r="AG47" s="2"/>
      <x:c r="AH47" s="2"/>
      <x:c r="AI47" s="2"/>
      <x:c r="AJ47" s="2"/>
      <x:c r="AK47" s="2"/>
    </x:row>
    <x:row r="48" ht="9.949999809265137" customHeight="1">
      <x:c r="B48" s="6"/>
      <x:c r="G48" s="3"/>
      <x:c r="H48" s="20"/>
      <x:c r="I48" s="20"/>
      <x:c r="J48" s="20"/>
      <x:c r="K48" s="20"/>
      <x:c r="L48" s="137"/>
      <x:c r="M48" s="2"/>
      <x:c r="N48" s="138"/>
      <x:c r="O48" s="138"/>
      <x:c r="P48" s="156"/>
      <x:c r="Q48" s="156"/>
      <x:c r="R48" s="139"/>
      <x:c r="S48" s="141"/>
      <x:c r="T48" s="156"/>
      <x:c r="U48" s="173"/>
      <x:c r="V48" s="137"/>
      <x:c r="W48" s="174"/>
      <x:c r="X48" s="2"/>
      <x:c r="Y48" s="137"/>
      <x:c r="Z48" s="137"/>
      <x:c r="AA48" s="2"/>
      <x:c r="AB48" s="2"/>
      <x:c r="AC48" s="2"/>
      <x:c r="AD48" s="2"/>
      <x:c r="AE48" s="2"/>
      <x:c r="AF48" s="2"/>
      <x:c r="AG48" s="2"/>
      <x:c r="AH48" s="2"/>
      <x:c r="AI48" s="2"/>
      <x:c r="AJ48" s="2"/>
      <x:c r="AK48" s="2"/>
    </x:row>
    <x:row r="49" ht="16.5" customHeight="1">
      <x:c r="B49" s="14" t="s">
        <x:v>136</x:v>
      </x:c>
      <x:c r="C49" s="443" t="s">
        <x:v>137</x:v>
      </x:c>
      <x:c r="D49" s="444"/>
      <x:c r="E49" s="444"/>
      <x:c r="F49" s="445"/>
      <x:c r="G49" s="4">
        <x:v>939853</x:v>
      </x:c>
      <x:c r="H49" s="327" t="s">
        <x:v>138</x:v>
      </x:c>
      <x:c r="I49" s="327"/>
      <x:c r="J49" s="327"/>
      <x:c r="K49" s="327"/>
      <x:c r="L49" s="328" t="n">
        <x:f>(I20*70/100)/3</x:f>
        <x:v>0</x:v>
      </x:c>
      <x:c r="M49" s="357"/>
      <x:c r="N49" s="330"/>
      <x:c r="O49" s="330"/>
      <x:c r="P49" s="379">
        <x:v>0</x:v>
      </x:c>
      <x:c r="Q49" s="380"/>
      <x:c r="R49" s="143" t="n">
        <x:f>IF(N49&gt;=P49,0,IF(P49&gt;N49,P49-N49,""))</x:f>
        <x:v>0</x:v>
      </x:c>
      <x:c r="S49" s="146">
        <x:f t="shared" si="1"/>
        <x:v>0</x:v>
      </x:c>
      <x:c r="T49" s="156"/>
      <x:c r="U49" s="381" t="n">
        <x:f>P49-R49+S49</x:f>
        <x:v>0</x:v>
      </x:c>
      <x:c r="V49" s="382"/>
      <x:c r="W49" s="383"/>
      <x:c r="X49" s="2"/>
      <x:c r="Y49" s="334"/>
      <x:c r="Z49" s="335"/>
      <x:c r="AA49" s="336"/>
      <x:c r="AB49" s="131"/>
      <x:c r="AC49" s="2"/>
      <x:c r="AD49" s="2"/>
      <x:c r="AE49" s="2"/>
      <x:c r="AF49" s="2"/>
      <x:c r="AG49" s="2"/>
      <x:c r="AH49" s="2"/>
      <x:c r="AI49" s="2"/>
      <x:c r="AJ49" s="2"/>
      <x:c r="AK49" s="2"/>
    </x:row>
    <x:row r="50" ht="9.949999809265137" customHeight="1">
      <x:c r="B50" s="6"/>
      <x:c r="G50" s="3"/>
      <x:c r="H50" s="20"/>
      <x:c r="I50" s="20"/>
      <x:c r="J50" s="20"/>
      <x:c r="K50" s="20"/>
      <x:c r="L50" s="137"/>
      <x:c r="M50" s="2"/>
      <x:c r="N50" s="138"/>
      <x:c r="O50" s="138"/>
      <x:c r="P50" s="156"/>
      <x:c r="Q50" s="156"/>
      <x:c r="R50" s="139"/>
      <x:c r="S50" s="141"/>
      <x:c r="T50" s="156"/>
      <x:c r="U50" s="173"/>
      <x:c r="V50" s="137"/>
      <x:c r="W50" s="174"/>
      <x:c r="X50" s="2"/>
      <x:c r="Y50" s="137"/>
      <x:c r="Z50" s="137"/>
      <x:c r="AA50" s="2"/>
      <x:c r="AB50" s="2"/>
      <x:c r="AC50" s="2"/>
      <x:c r="AD50" s="2"/>
      <x:c r="AE50" s="2"/>
      <x:c r="AF50" s="2"/>
      <x:c r="AG50" s="2"/>
      <x:c r="AH50" s="2"/>
      <x:c r="AI50" s="2"/>
      <x:c r="AJ50" s="2"/>
      <x:c r="AK50" s="2"/>
    </x:row>
    <x:row r="51" ht="16.5">
      <x:c r="B51" s="14" t="s">
        <x:v>139</x:v>
      </x:c>
      <x:c r="C51" s="443" t="s">
        <x:v>140</x:v>
      </x:c>
      <x:c r="D51" s="444"/>
      <x:c r="E51" s="444"/>
      <x:c r="F51" s="445"/>
      <x:c r="G51" s="4" t="s">
        <x:v>141</x:v>
      </x:c>
      <x:c r="H51" s="327" t="s">
        <x:v>142</x:v>
      </x:c>
      <x:c r="I51" s="327"/>
      <x:c r="J51" s="327"/>
      <x:c r="K51" s="327"/>
      <x:c r="L51" s="328" t="n">
        <x:f>(I20*30/100)/2</x:f>
        <x:v>0</x:v>
      </x:c>
      <x:c r="M51" s="357"/>
      <x:c r="N51" s="330"/>
      <x:c r="O51" s="330"/>
      <x:c r="P51" s="379">
        <x:v>0</x:v>
      </x:c>
      <x:c r="Q51" s="380"/>
      <x:c r="R51" s="143" t="n">
        <x:f t="shared" ref="R51" si="3">IF(N51&gt;=P51,0,IF(P51&gt;N51,P51-N51,""))</x:f>
        <x:v>0</x:v>
      </x:c>
      <x:c r="S51" s="146">
        <x:f t="shared" si="1"/>
        <x:v>0</x:v>
      </x:c>
      <x:c r="T51" s="156"/>
      <x:c r="U51" s="381" t="n">
        <x:f>P51-R51+S51</x:f>
        <x:v>0</x:v>
      </x:c>
      <x:c r="V51" s="382"/>
      <x:c r="W51" s="383"/>
      <x:c r="X51" s="2"/>
      <x:c r="Y51" s="334"/>
      <x:c r="Z51" s="335"/>
      <x:c r="AA51" s="336"/>
      <x:c r="AB51" s="131"/>
      <x:c r="AC51" s="2"/>
      <x:c r="AD51" s="2"/>
      <x:c r="AE51" s="2"/>
      <x:c r="AF51" s="2"/>
      <x:c r="AG51" s="2"/>
      <x:c r="AH51" s="2"/>
      <x:c r="AI51" s="2"/>
      <x:c r="AJ51" s="2"/>
      <x:c r="AK51" s="2"/>
    </x:row>
    <x:row r="52" ht="9.949999809265137" customHeight="1">
      <x:c r="B52" s="6"/>
      <x:c r="G52" s="3"/>
      <x:c r="H52" s="20"/>
      <x:c r="I52" s="20"/>
      <x:c r="J52" s="20"/>
      <x:c r="K52" s="20"/>
      <x:c r="L52" s="137"/>
      <x:c r="M52" s="2"/>
      <x:c r="N52" s="138"/>
      <x:c r="O52" s="138"/>
      <x:c r="P52" s="156"/>
      <x:c r="Q52" s="156"/>
      <x:c r="R52" s="139"/>
      <x:c r="S52" s="141"/>
      <x:c r="T52" s="156"/>
      <x:c r="U52" s="173"/>
      <x:c r="V52" s="137"/>
      <x:c r="W52" s="174"/>
      <x:c r="X52" s="2"/>
      <x:c r="Y52" s="137"/>
      <x:c r="Z52" s="137"/>
      <x:c r="AA52" s="2"/>
      <x:c r="AB52" s="2"/>
      <x:c r="AC52" s="2"/>
      <x:c r="AD52" s="2"/>
      <x:c r="AE52" s="2"/>
      <x:c r="AF52" s="2"/>
      <x:c r="AG52" s="2"/>
      <x:c r="AH52" s="2"/>
      <x:c r="AI52" s="2"/>
      <x:c r="AJ52" s="2"/>
      <x:c r="AK52" s="2"/>
    </x:row>
    <x:row r="53" ht="16.5" customHeight="1">
      <x:c r="B53" s="15" t="s">
        <x:v>143</x:v>
      </x:c>
      <x:c r="C53" s="446" t="s">
        <x:v>144</x:v>
      </x:c>
      <x:c r="D53" s="447"/>
      <x:c r="E53" s="447"/>
      <x:c r="F53" s="448"/>
      <x:c r="G53" s="19" t="s">
        <x:v>145</x:v>
      </x:c>
      <x:c r="H53" s="344" t="s">
        <x:v>146</x:v>
      </x:c>
      <x:c r="I53" s="344"/>
      <x:c r="J53" s="344"/>
      <x:c r="K53" s="344"/>
      <x:c r="L53" s="345" t="n">
        <x:f>(I20*30/100)/2</x:f>
        <x:v>0</x:v>
      </x:c>
      <x:c r="M53" s="374"/>
      <x:c r="N53" s="347"/>
      <x:c r="O53" s="347"/>
      <x:c r="P53" s="384">
        <x:v>0</x:v>
      </x:c>
      <x:c r="Q53" s="385"/>
      <x:c r="R53" s="149" t="n">
        <x:f>IF(N53&gt;=P53,0,IF(P53&gt;N53,P53-N53,""))</x:f>
        <x:v>0</x:v>
      </x:c>
      <x:c r="S53" s="152">
        <x:f t="shared" si="1"/>
        <x:v>0</x:v>
      </x:c>
      <x:c r="T53" s="156"/>
      <x:c r="U53" s="386" t="n">
        <x:f>P53-R53+S53</x:f>
        <x:v>0</x:v>
      </x:c>
      <x:c r="V53" s="387"/>
      <x:c r="W53" s="388"/>
      <x:c r="X53" s="2"/>
      <x:c r="Y53" s="334"/>
      <x:c r="Z53" s="335"/>
      <x:c r="AA53" s="336"/>
      <x:c r="AB53" s="131"/>
      <x:c r="AC53" s="2"/>
      <x:c r="AD53" s="2"/>
      <x:c r="AE53" s="2"/>
      <x:c r="AF53" s="2"/>
      <x:c r="AG53" s="2"/>
      <x:c r="AH53" s="2"/>
      <x:c r="AI53" s="2"/>
      <x:c r="AJ53" s="2"/>
      <x:c r="AK53" s="2"/>
    </x:row>
    <x:row r="54" ht="12" customHeight="1">
      <x:c r="B54" s="3"/>
      <x:c r="C54" s="113"/>
      <x:c r="D54" s="113"/>
      <x:c r="E54" s="113"/>
      <x:c r="F54" s="113"/>
      <x:c r="G54" s="3"/>
      <x:c r="H54" s="20"/>
      <x:c r="I54" s="20"/>
      <x:c r="J54" s="20"/>
      <x:c r="K54" s="20"/>
      <x:c r="L54" s="137"/>
      <x:c r="M54" s="2"/>
      <x:c r="N54" s="138"/>
      <x:c r="O54" s="138"/>
      <x:c r="P54" s="156"/>
      <x:c r="Q54" s="156"/>
      <x:c r="R54" s="139"/>
      <x:c r="S54" s="139"/>
      <x:c r="T54" s="156"/>
      <x:c r="U54" s="137"/>
      <x:c r="V54" s="137"/>
      <x:c r="W54" s="2"/>
      <x:c r="X54" s="2"/>
      <x:c r="Y54" s="137"/>
      <x:c r="Z54" s="137"/>
      <x:c r="AA54" s="2"/>
      <x:c r="AB54" s="2"/>
      <x:c r="AC54" s="2"/>
      <x:c r="AD54" s="2"/>
      <x:c r="AE54" s="2"/>
      <x:c r="AF54" s="2"/>
      <x:c r="AG54" s="2"/>
      <x:c r="AH54" s="2"/>
      <x:c r="AI54" s="2"/>
      <x:c r="AJ54" s="2"/>
      <x:c r="AK54" s="2"/>
    </x:row>
    <x:row r="55" ht="16.5" customHeight="1">
      <x:c r="B55" s="26" t="s">
        <x:v>147</x:v>
      </x:c>
      <x:c r="C55" s="449" t="s">
        <x:v>148</x:v>
      </x:c>
      <x:c r="D55" s="450"/>
      <x:c r="E55" s="450"/>
      <x:c r="F55" s="451"/>
      <x:c r="G55" s="18">
        <x:v>847423</x:v>
      </x:c>
      <x:c r="H55" s="337" t="s">
        <x:v>20</x:v>
      </x:c>
      <x:c r="I55" s="337"/>
      <x:c r="J55" s="337"/>
      <x:c r="K55" s="337"/>
      <x:c r="L55" s="338" t="n">
        <x:f>L20*40/100</x:f>
        <x:v>0</x:v>
      </x:c>
      <x:c r="M55" s="339"/>
      <x:c r="N55" s="340" t="n">
        <x:f>L20-N57-N59</x:f>
        <x:v>0</x:v>
      </x:c>
      <x:c r="O55" s="340"/>
      <x:c r="P55" s="369">
        <x:v>0</x:v>
      </x:c>
      <x:c r="Q55" s="370"/>
      <x:c r="R55" s="157" t="n">
        <x:f>IF(N55&gt;=P55,0,IF(P55&gt;N55,P55-N55,""))</x:f>
        <x:v>0</x:v>
      </x:c>
      <x:c r="S55" s="136">
        <x:f t="shared" si="1"/>
        <x:v>0</x:v>
      </x:c>
      <x:c r="T55" s="156"/>
      <x:c r="U55" s="392" t="n">
        <x:f>P55-R55+S55</x:f>
        <x:v>0</x:v>
      </x:c>
      <x:c r="V55" s="393"/>
      <x:c r="W55" s="394"/>
      <x:c r="X55" s="2"/>
      <x:c r="Y55" s="334"/>
      <x:c r="Z55" s="335"/>
      <x:c r="AA55" s="336"/>
      <x:c r="AB55" s="131"/>
      <x:c r="AC55" s="2"/>
      <x:c r="AD55" s="2"/>
      <x:c r="AE55" s="2"/>
      <x:c r="AF55" s="2"/>
      <x:c r="AG55" s="2"/>
      <x:c r="AH55" s="2"/>
      <x:c r="AI55" s="2"/>
      <x:c r="AJ55" s="2"/>
      <x:c r="AK55" s="2"/>
    </x:row>
    <x:row r="56" ht="9.949999809265137" customHeight="1">
      <x:c r="B56" s="6"/>
      <x:c r="G56" s="3"/>
      <x:c r="H56" s="20"/>
      <x:c r="I56" s="20"/>
      <x:c r="J56" s="20"/>
      <x:c r="K56" s="20"/>
      <x:c r="L56" s="137"/>
      <x:c r="M56" s="2"/>
      <x:c r="N56" s="138"/>
      <x:c r="O56" s="138"/>
      <x:c r="P56" s="156"/>
      <x:c r="Q56" s="156"/>
      <x:c r="R56" s="139"/>
      <x:c r="S56" s="141"/>
      <x:c r="T56" s="156"/>
      <x:c r="U56" s="173"/>
      <x:c r="V56" s="137"/>
      <x:c r="W56" s="174"/>
      <x:c r="X56" s="2"/>
      <x:c r="Y56" s="137"/>
      <x:c r="Z56" s="137"/>
      <x:c r="AA56" s="2"/>
      <x:c r="AB56" s="2"/>
      <x:c r="AC56" s="2"/>
      <x:c r="AD56" s="2"/>
      <x:c r="AE56" s="2"/>
      <x:c r="AF56" s="2"/>
      <x:c r="AG56" s="2"/>
      <x:c r="AH56" s="2"/>
      <x:c r="AI56" s="2"/>
      <x:c r="AJ56" s="2"/>
      <x:c r="AK56" s="2"/>
    </x:row>
    <x:row r="57" ht="16.5" customHeight="1">
      <x:c r="B57" s="27" t="s">
        <x:v>149</x:v>
      </x:c>
      <x:c r="C57" s="452" t="s">
        <x:v>150</x:v>
      </x:c>
      <x:c r="D57" s="453"/>
      <x:c r="E57" s="453"/>
      <x:c r="F57" s="454"/>
      <x:c r="G57" s="4" t="s">
        <x:v>151</x:v>
      </x:c>
      <x:c r="H57" s="327" t="s">
        <x:v>28</x:v>
      </x:c>
      <x:c r="I57" s="327"/>
      <x:c r="J57" s="327"/>
      <x:c r="K57" s="327"/>
      <x:c r="L57" s="328" t="n">
        <x:f>L20*30/100</x:f>
        <x:v>0</x:v>
      </x:c>
      <x:c r="M57" s="357"/>
      <x:c r="N57" s="330">
        <x:v>0</x:v>
      </x:c>
      <x:c r="O57" s="330"/>
      <x:c r="P57" s="379">
        <x:v>0</x:v>
      </x:c>
      <x:c r="Q57" s="380"/>
      <x:c r="R57" s="143" t="n">
        <x:f>IF(N57&gt;=P57,0,IF(P57&gt;N57,P57-N57,""))</x:f>
        <x:v>0</x:v>
      </x:c>
      <x:c r="S57" s="146">
        <x:f t="shared" si="1"/>
        <x:v>0</x:v>
      </x:c>
      <x:c r="T57" s="156"/>
      <x:c r="U57" s="389" t="n">
        <x:f>P57-R57+S57</x:f>
        <x:v>0</x:v>
      </x:c>
      <x:c r="V57" s="390"/>
      <x:c r="W57" s="391"/>
      <x:c r="X57" s="2"/>
      <x:c r="Y57" s="334"/>
      <x:c r="Z57" s="335"/>
      <x:c r="AA57" s="336"/>
      <x:c r="AB57" s="131"/>
      <x:c r="AC57" s="2"/>
      <x:c r="AD57" s="2"/>
      <x:c r="AE57" s="2"/>
      <x:c r="AF57" s="2"/>
      <x:c r="AG57" s="2"/>
      <x:c r="AH57" s="2"/>
      <x:c r="AI57" s="2"/>
      <x:c r="AJ57" s="2"/>
      <x:c r="AK57" s="2"/>
    </x:row>
    <x:row r="58" ht="9.949999809265137" customHeight="1">
      <x:c r="B58" s="6"/>
      <x:c r="G58" s="3"/>
      <x:c r="H58" s="20"/>
      <x:c r="I58" s="20"/>
      <x:c r="J58" s="20"/>
      <x:c r="K58" s="20"/>
      <x:c r="L58" s="137"/>
      <x:c r="M58" s="2"/>
      <x:c r="N58" s="138"/>
      <x:c r="O58" s="138"/>
      <x:c r="P58" s="156"/>
      <x:c r="Q58" s="156"/>
      <x:c r="R58" s="139"/>
      <x:c r="S58" s="141"/>
      <x:c r="T58" s="156"/>
      <x:c r="U58" s="173"/>
      <x:c r="V58" s="137"/>
      <x:c r="W58" s="174"/>
      <x:c r="X58" s="2"/>
      <x:c r="Y58" s="137"/>
      <x:c r="Z58" s="137"/>
      <x:c r="AA58" s="2"/>
      <x:c r="AB58" s="2"/>
      <x:c r="AC58" s="2"/>
      <x:c r="AD58" s="2"/>
      <x:c r="AE58" s="2"/>
      <x:c r="AF58" s="2"/>
      <x:c r="AG58" s="2"/>
      <x:c r="AH58" s="2"/>
      <x:c r="AI58" s="2"/>
      <x:c r="AJ58" s="2"/>
      <x:c r="AK58" s="2"/>
    </x:row>
    <x:row r="59" ht="16.5" customHeight="1">
      <x:c r="B59" s="28" t="s">
        <x:v>152</x:v>
      </x:c>
      <x:c r="C59" s="395" t="s">
        <x:v>153</x:v>
      </x:c>
      <x:c r="D59" s="396"/>
      <x:c r="E59" s="396"/>
      <x:c r="F59" s="397"/>
      <x:c r="G59" s="19" t="s">
        <x:v>154</x:v>
      </x:c>
      <x:c r="H59" s="344" t="s">
        <x:v>155</x:v>
      </x:c>
      <x:c r="I59" s="344"/>
      <x:c r="J59" s="344"/>
      <x:c r="K59" s="344"/>
      <x:c r="L59" s="345" t="n">
        <x:f>L20*30/100</x:f>
        <x:v>0</x:v>
      </x:c>
      <x:c r="M59" s="374"/>
      <x:c r="N59" s="347"/>
      <x:c r="O59" s="347"/>
      <x:c r="P59" s="384">
        <x:v>0</x:v>
      </x:c>
      <x:c r="Q59" s="385"/>
      <x:c r="R59" s="149" t="n">
        <x:f>IF(N59&gt;=P59,0,IF(P59&gt;N59,P59-N59,""))</x:f>
        <x:v>0</x:v>
      </x:c>
      <x:c r="S59" s="152">
        <x:f t="shared" si="1"/>
        <x:v>0</x:v>
      </x:c>
      <x:c r="T59" s="156"/>
      <x:c r="U59" s="437" t="n">
        <x:f>P59-R59+S59</x:f>
        <x:v>0</x:v>
      </x:c>
      <x:c r="V59" s="438"/>
      <x:c r="W59" s="439"/>
      <x:c r="X59" s="2"/>
      <x:c r="Y59" s="334"/>
      <x:c r="Z59" s="335"/>
      <x:c r="AA59" s="336"/>
      <x:c r="AB59" s="131"/>
      <x:c r="AC59" s="2"/>
      <x:c r="AD59" s="2"/>
      <x:c r="AE59" s="2"/>
      <x:c r="AF59" s="2"/>
      <x:c r="AG59" s="2"/>
      <x:c r="AH59" s="2"/>
      <x:c r="AI59" s="2"/>
      <x:c r="AJ59" s="2"/>
      <x:c r="AK59" s="2"/>
    </x:row>
    <x:row r="60" ht="12" customHeight="1">
      <x:c r="B60" s="3"/>
      <x:c r="H60" s="20"/>
      <x:c r="I60" s="20"/>
      <x:c r="J60" s="20"/>
      <x:c r="K60" s="20"/>
      <x:c r="L60" s="137"/>
      <x:c r="M60" s="2"/>
      <x:c r="N60" s="138"/>
      <x:c r="O60" s="138"/>
      <x:c r="P60" s="156"/>
      <x:c r="Q60" s="156"/>
      <x:c r="R60" s="139"/>
      <x:c r="S60" s="139"/>
      <x:c r="T60" s="156"/>
      <x:c r="U60" s="137"/>
      <x:c r="V60" s="137"/>
      <x:c r="W60" s="2"/>
      <x:c r="X60" s="2"/>
      <x:c r="Y60" s="137"/>
      <x:c r="Z60" s="137"/>
      <x:c r="AA60" s="2"/>
      <x:c r="AB60" s="2"/>
      <x:c r="AC60" s="2"/>
      <x:c r="AD60" s="2"/>
      <x:c r="AE60" s="2"/>
      <x:c r="AF60" s="2"/>
      <x:c r="AG60" s="2"/>
      <x:c r="AH60" s="2"/>
      <x:c r="AI60" s="2"/>
      <x:c r="AJ60" s="2"/>
      <x:c r="AK60" s="2"/>
    </x:row>
    <x:row r="61" ht="16.5" customHeight="1">
      <x:c r="B61" s="16" t="s">
        <x:v>156</x:v>
      </x:c>
      <x:c r="C61" s="423" t="s">
        <x:v>157</x:v>
      </x:c>
      <x:c r="D61" s="423"/>
      <x:c r="E61" s="423"/>
      <x:c r="F61" s="423"/>
      <x:c r="G61" s="18"/>
      <x:c r="H61" s="337" t="s">
        <x:v>158</x:v>
      </x:c>
      <x:c r="I61" s="337"/>
      <x:c r="J61" s="337"/>
      <x:c r="K61" s="337"/>
      <x:c r="L61" s="338" t="n">
        <x:f>O20</x:f>
        <x:v>0</x:v>
      </x:c>
      <x:c r="M61" s="339"/>
      <x:c r="N61" s="340" t="n">
        <x:f>O20+R20-N63</x:f>
        <x:v>0</x:v>
      </x:c>
      <x:c r="O61" s="340"/>
      <x:c r="P61" s="369">
        <x:v>0</x:v>
      </x:c>
      <x:c r="Q61" s="370"/>
      <x:c r="R61" s="132" t="n">
        <x:f>IF(N61&gt;=P61,0,IF(P61&gt;N61,P61-N61,""))</x:f>
        <x:v>0</x:v>
      </x:c>
      <x:c r="S61" s="136">
        <x:f t="shared" si="1"/>
        <x:v>0</x:v>
      </x:c>
      <x:c r="T61" s="156"/>
      <x:c r="U61" s="434" t="n">
        <x:f>P61-R61+S61</x:f>
        <x:v>0</x:v>
      </x:c>
      <x:c r="V61" s="435"/>
      <x:c r="W61" s="436"/>
      <x:c r="X61" s="2"/>
      <x:c r="Y61" s="334"/>
      <x:c r="Z61" s="335"/>
      <x:c r="AA61" s="336"/>
      <x:c r="AB61" s="131"/>
      <x:c r="AC61" s="2"/>
      <x:c r="AD61" s="2"/>
      <x:c r="AE61" s="2"/>
      <x:c r="AF61" s="2"/>
      <x:c r="AG61" s="2"/>
      <x:c r="AH61" s="2"/>
      <x:c r="AI61" s="2"/>
      <x:c r="AJ61" s="2"/>
      <x:c r="AK61" s="2"/>
    </x:row>
    <x:row r="62" ht="9.949999809265137" customHeight="1">
      <x:c r="B62" s="6"/>
      <x:c r="H62" s="20"/>
      <x:c r="I62" s="20"/>
      <x:c r="J62" s="20"/>
      <x:c r="K62" s="20"/>
      <x:c r="L62" s="137"/>
      <x:c r="M62" s="2"/>
      <x:c r="N62" s="138"/>
      <x:c r="O62" s="138"/>
      <x:c r="P62" s="156"/>
      <x:c r="Q62" s="156"/>
      <x:c r="R62" s="139"/>
      <x:c r="S62" s="141"/>
      <x:c r="T62" s="2"/>
      <x:c r="U62" s="173"/>
      <x:c r="V62" s="137"/>
      <x:c r="W62" s="174"/>
      <x:c r="X62" s="2"/>
      <x:c r="Y62" s="137"/>
      <x:c r="Z62" s="137"/>
      <x:c r="AA62" s="137"/>
      <x:c r="AB62" s="2"/>
      <x:c r="AC62" s="2"/>
      <x:c r="AD62" s="2"/>
      <x:c r="AE62" s="2"/>
      <x:c r="AF62" s="2"/>
      <x:c r="AG62" s="2"/>
      <x:c r="AH62" s="2"/>
      <x:c r="AI62" s="2"/>
      <x:c r="AJ62" s="2"/>
      <x:c r="AK62" s="2"/>
    </x:row>
    <x:row r="63" ht="16.5" customHeight="1">
      <x:c r="B63" s="17" t="s">
        <x:v>159</x:v>
      </x:c>
      <x:c r="C63" s="419" t="s">
        <x:v>160</x:v>
      </x:c>
      <x:c r="D63" s="419"/>
      <x:c r="E63" s="419"/>
      <x:c r="F63" s="419"/>
      <x:c r="G63" s="19"/>
      <x:c r="H63" s="344" t="s">
        <x:v>161</x:v>
      </x:c>
      <x:c r="I63" s="344"/>
      <x:c r="J63" s="344"/>
      <x:c r="K63" s="344"/>
      <x:c r="L63" s="345" t="n">
        <x:f>R20</x:f>
        <x:v>0</x:v>
      </x:c>
      <x:c r="M63" s="374"/>
      <x:c r="N63" s="347"/>
      <x:c r="O63" s="347"/>
      <x:c r="P63" s="384">
        <x:v>0</x:v>
      </x:c>
      <x:c r="Q63" s="385"/>
      <x:c r="R63" s="148" t="n">
        <x:f>IF(N63&gt;=P63,0,IF(P63&gt;N63,P63-N63,""))</x:f>
        <x:v>0</x:v>
      </x:c>
      <x:c r="S63" s="152">
        <x:f t="shared" si="1"/>
        <x:v>0</x:v>
      </x:c>
      <x:c r="T63" s="2"/>
      <x:c r="U63" s="420" t="n">
        <x:f>P63-R63+S63</x:f>
        <x:v>0</x:v>
      </x:c>
      <x:c r="V63" s="421"/>
      <x:c r="W63" s="422"/>
      <x:c r="X63" s="2"/>
      <x:c r="Y63" s="362"/>
      <x:c r="Z63" s="362"/>
      <x:c r="AA63" s="368"/>
      <x:c r="AB63" s="131"/>
      <x:c r="AC63" s="2"/>
      <x:c r="AD63" s="2"/>
      <x:c r="AE63" s="177">
        <x:v>0</x:v>
      </x:c>
      <x:c r="AF63" s="2"/>
      <x:c r="AG63" s="2"/>
      <x:c r="AH63" s="2"/>
      <x:c r="AI63" s="177">
        <x:v>0</x:v>
      </x:c>
      <x:c r="AJ63" s="2"/>
      <x:c r="AK63" s="175" t="n">
        <x:f>(AE63+AI63)*12</x:f>
        <x:v>0</x:v>
      </x:c>
    </x:row>
    <x:row r="64" ht="12" customHeight="1">
      <x:c r="L64" s="2"/>
      <x:c r="M64" s="2"/>
      <x:c r="N64" s="2"/>
      <x:c r="O64" s="2"/>
      <x:c r="P64" s="2"/>
      <x:c r="Q64" s="2"/>
      <x:c r="R64" s="139"/>
      <x:c r="S64" s="139"/>
      <x:c r="T64" s="2"/>
      <x:c r="U64" s="2"/>
      <x:c r="V64" s="2"/>
      <x:c r="W64" s="2"/>
      <x:c r="X64" s="2"/>
      <x:c r="Y64" s="2"/>
      <x:c r="Z64" s="2"/>
      <x:c r="AA64" s="2"/>
      <x:c r="AB64" s="2"/>
      <x:c r="AC64" s="2"/>
      <x:c r="AD64" s="2"/>
      <x:c r="AE64" s="2"/>
      <x:c r="AF64" s="2"/>
      <x:c r="AG64" s="2"/>
      <x:c r="AH64" s="2"/>
      <x:c r="AI64" s="2"/>
      <x:c r="AJ64" s="2"/>
      <x:c r="AK64" s="2"/>
    </x:row>
    <x:row r="65" ht="16.5" customHeight="1">
      <x:c r="B65" s="55" t="s">
        <x:v>162</x:v>
      </x:c>
      <x:c r="C65" s="405" t="s">
        <x:v>163</x:v>
      </x:c>
      <x:c r="D65" s="406"/>
      <x:c r="E65" s="406"/>
      <x:c r="F65" s="407"/>
      <x:c r="G65" s="42"/>
      <x:c r="H65" s="408" t="s">
        <x:v>164</x:v>
      </x:c>
      <x:c r="I65" s="409"/>
      <x:c r="J65" s="409"/>
      <x:c r="K65" s="410"/>
      <x:c r="L65" s="411" t="n">
        <x:f>W20</x:f>
        <x:v>0</x:v>
      </x:c>
      <x:c r="M65" s="412"/>
      <x:c r="N65" s="413" t="n">
        <x:f>W20</x:f>
        <x:v>0</x:v>
      </x:c>
      <x:c r="O65" s="414"/>
      <x:c r="P65" s="415">
        <x:v>0</x:v>
      </x:c>
      <x:c r="Q65" s="335"/>
      <x:c r="R65" s="159" t="n">
        <x:f>IF(N65&gt;=P65,0,IF(P65&gt;N65,P65-N65,""))</x:f>
        <x:v>0</x:v>
      </x:c>
      <x:c r="S65" s="160">
        <x:f t="shared" si="1"/>
        <x:v>0</x:v>
      </x:c>
      <x:c r="T65" s="2"/>
      <x:c r="U65" s="416" t="n">
        <x:f>P65-R65+S65</x:f>
        <x:v>0</x:v>
      </x:c>
      <x:c r="V65" s="417"/>
      <x:c r="W65" s="418"/>
      <x:c r="X65" s="2"/>
      <x:c r="Y65" s="362"/>
      <x:c r="Z65" s="368"/>
      <x:c r="AA65" s="368"/>
      <x:c r="AB65" s="178"/>
      <x:c r="AC65" s="179"/>
      <x:c r="AD65" s="179"/>
      <x:c r="AE65" s="179"/>
      <x:c r="AF65" s="179"/>
      <x:c r="AG65" s="179"/>
      <x:c r="AH65" s="179"/>
      <x:c r="AI65" s="179"/>
      <x:c r="AJ65" s="179"/>
      <x:c r="AK65" s="179"/>
    </x:row>
    <x:row r="66" ht="15" customHeight="1">
      <x:c r="L66" s="2"/>
      <x:c r="M66" s="2"/>
      <x:c r="N66" s="2"/>
      <x:c r="O66" s="2"/>
      <x:c r="P66" s="2"/>
      <x:c r="Q66" s="2"/>
      <x:c r="R66" s="139"/>
      <x:c r="S66" s="139"/>
      <x:c r="T66" s="2"/>
      <x:c r="U66" s="2"/>
      <x:c r="V66" s="2"/>
      <x:c r="W66" s="2"/>
      <x:c r="X66" s="2"/>
      <x:c r="Y66" s="2"/>
      <x:c r="Z66" s="2"/>
      <x:c r="AA66" s="2"/>
      <x:c r="AB66" s="139"/>
      <x:c r="AC66" s="2"/>
      <x:c r="AD66" s="2"/>
      <x:c r="AE66" s="2"/>
      <x:c r="AF66" s="2"/>
      <x:c r="AG66" s="2"/>
      <x:c r="AH66" s="2"/>
      <x:c r="AI66" s="2"/>
      <x:c r="AJ66" s="2"/>
      <x:c r="AK66" s="2"/>
    </x:row>
    <x:row r="67" ht="16.5" customHeight="1">
      <x:c r="L67" s="2"/>
      <x:c r="M67" s="2"/>
      <x:c r="N67" s="2"/>
      <x:c r="O67" s="2"/>
      <x:c r="P67" s="2"/>
      <x:c r="Q67" s="2"/>
      <x:c r="R67" s="139"/>
      <x:c r="S67" s="139"/>
      <x:c r="T67" s="2"/>
      <x:c r="U67" s="429" t="n">
        <x:f>SUM(U29:U65)</x:f>
        <x:v>0</x:v>
      </x:c>
      <x:c r="V67" s="430"/>
      <x:c r="W67" s="431"/>
      <x:c r="X67" s="2"/>
      <x:c r="Y67" s="362"/>
      <x:c r="Z67" s="362"/>
      <x:c r="AA67" s="362"/>
      <x:c r="AB67" s="2"/>
      <x:c r="AC67" s="2"/>
      <x:c r="AD67" s="2"/>
      <x:c r="AE67" s="2"/>
      <x:c r="AF67" s="2"/>
      <x:c r="AG67" s="2"/>
      <x:c r="AH67" s="2"/>
      <x:c r="AI67" s="2"/>
      <x:c r="AJ67" s="2"/>
      <x:c r="AK67" s="2"/>
    </x:row>
    <x:row r="68" ht="15" customHeight="1">
      <x:c r="L68" s="2"/>
      <x:c r="M68" s="2"/>
      <x:c r="N68" s="2"/>
      <x:c r="O68" s="2"/>
      <x:c r="P68" s="2"/>
      <x:c r="Q68" s="2"/>
      <x:c r="R68" s="139"/>
      <x:c r="S68" s="139"/>
      <x:c r="T68" s="156"/>
      <x:c r="U68" s="139"/>
      <x:c r="V68" s="139"/>
      <x:c r="W68" s="139"/>
      <x:c r="X68" s="2"/>
      <x:c r="Y68" s="139"/>
      <x:c r="Z68" s="139"/>
      <x:c r="AA68" s="139"/>
      <x:c r="AB68" s="131"/>
      <x:c r="AC68" s="2"/>
      <x:c r="AD68" s="2"/>
      <x:c r="AE68" s="2"/>
      <x:c r="AF68" s="2"/>
      <x:c r="AG68" s="2"/>
      <x:c r="AH68" s="2"/>
      <x:c r="AI68" s="2"/>
      <x:c r="AJ68" s="2"/>
      <x:c r="AK68" s="2"/>
    </x:row>
    <x:row r="69" ht="16.5" customHeight="1">
      <x:c r="B69" s="43" t="s">
        <x:v>165</x:v>
      </x:c>
      <x:c r="C69" s="401" t="s">
        <x:v>166</x:v>
      </x:c>
      <x:c r="D69" s="401"/>
      <x:c r="E69" s="401"/>
      <x:c r="F69" s="401"/>
      <x:c r="G69" s="18"/>
      <x:c r="H69" s="337" t="s">
        <x:v>167</x:v>
      </x:c>
      <x:c r="I69" s="337"/>
      <x:c r="J69" s="337"/>
      <x:c r="K69" s="337"/>
      <x:c r="L69" s="338"/>
      <x:c r="M69" s="339"/>
      <x:c r="N69" s="363">
        <x:v>0</x:v>
      </x:c>
      <x:c r="O69" s="363"/>
      <x:c r="P69" s="369">
        <x:v>0</x:v>
      </x:c>
      <x:c r="Q69" s="370"/>
      <x:c r="R69" s="157" t="n">
        <x:f t="shared" ref="R69" si="4">IF(N69&gt;=P69,0,IF(P69&gt;N69,P69-N69,""))</x:f>
        <x:v>0</x:v>
      </x:c>
      <x:c r="S69" s="136">
        <x:f t="shared" si="1"/>
        <x:v>0</x:v>
      </x:c>
      <x:c r="T69" s="156"/>
      <x:c r="U69" s="402" t="n">
        <x:f>P69-R69+S69</x:f>
        <x:v>0</x:v>
      </x:c>
      <x:c r="V69" s="403"/>
      <x:c r="W69" s="404"/>
      <x:c r="X69" s="2"/>
      <x:c r="Y69" s="334">
        <x:v>0</x:v>
      </x:c>
      <x:c r="Z69" s="335"/>
      <x:c r="AA69" s="336"/>
      <x:c r="AB69" s="131"/>
      <x:c r="AC69" s="2"/>
      <x:c r="AD69" s="2"/>
      <x:c r="AE69" s="2"/>
      <x:c r="AF69" s="2"/>
      <x:c r="AG69" s="2"/>
      <x:c r="AH69" s="2"/>
      <x:c r="AI69" s="2"/>
      <x:c r="AJ69" s="2"/>
      <x:c r="AK69" s="2"/>
    </x:row>
    <x:row r="70" ht="9.949999809265137" customHeight="1">
      <x:c r="B70" s="6"/>
      <x:c r="H70" s="20"/>
      <x:c r="I70" s="20"/>
      <x:c r="J70" s="20"/>
      <x:c r="K70" s="20"/>
      <x:c r="L70" s="137"/>
      <x:c r="M70" s="2"/>
      <x:c r="N70" s="138"/>
      <x:c r="O70" s="138"/>
      <x:c r="P70" s="156"/>
      <x:c r="Q70" s="156"/>
      <x:c r="R70" s="139"/>
      <x:c r="S70" s="141"/>
      <x:c r="T70" s="156"/>
      <x:c r="U70" s="180"/>
      <x:c r="V70" s="2"/>
      <x:c r="W70" s="174"/>
      <x:c r="X70" s="2"/>
      <x:c r="Y70" s="2"/>
      <x:c r="Z70" s="2"/>
      <x:c r="AA70" s="2"/>
      <x:c r="AB70" s="2"/>
      <x:c r="AC70" s="2"/>
      <x:c r="AD70" s="2"/>
      <x:c r="AE70" s="2"/>
      <x:c r="AF70" s="2"/>
      <x:c r="AG70" s="2"/>
      <x:c r="AH70" s="2"/>
      <x:c r="AI70" s="2"/>
      <x:c r="AJ70" s="2"/>
      <x:c r="AK70" s="2"/>
    </x:row>
    <x:row r="71" ht="16.5" customHeight="1">
      <x:c r="B71" s="44" t="s">
        <x:v>168</x:v>
      </x:c>
      <x:c r="C71" s="424" t="s">
        <x:v>169</x:v>
      </x:c>
      <x:c r="D71" s="424"/>
      <x:c r="E71" s="424"/>
      <x:c r="F71" s="424"/>
      <x:c r="G71" s="19"/>
      <x:c r="H71" s="344" t="s">
        <x:v>167</x:v>
      </x:c>
      <x:c r="I71" s="344"/>
      <x:c r="J71" s="344"/>
      <x:c r="K71" s="344"/>
      <x:c r="L71" s="345"/>
      <x:c r="M71" s="374"/>
      <x:c r="N71" s="425"/>
      <x:c r="O71" s="425"/>
      <x:c r="P71" s="384"/>
      <x:c r="Q71" s="385"/>
      <x:c r="R71" s="149" t="n">
        <x:f>P71</x:f>
        <x:v>0</x:v>
      </x:c>
      <x:c r="S71" s="152" t="n">
        <x:f t="shared" ref="S71" si="5">N71-P71+R71</x:f>
        <x:v>0</x:v>
      </x:c>
      <x:c r="T71" s="156"/>
      <x:c r="U71" s="426" t="n">
        <x:f>P71-R71+S71</x:f>
        <x:v>0</x:v>
      </x:c>
      <x:c r="V71" s="427"/>
      <x:c r="W71" s="428"/>
      <x:c r="X71" s="2"/>
      <x:c r="Y71" s="362"/>
      <x:c r="Z71" s="362"/>
      <x:c r="AA71" s="368"/>
      <x:c r="AB71" s="2"/>
      <x:c r="AC71" s="2"/>
      <x:c r="AD71" s="2"/>
      <x:c r="AE71" s="2"/>
      <x:c r="AF71" s="2"/>
      <x:c r="AG71" s="2"/>
      <x:c r="AH71" s="2"/>
      <x:c r="AI71" s="2"/>
      <x:c r="AJ71" s="2"/>
      <x:c r="AK71" s="2"/>
    </x:row>
    <x:row r="72" ht="15" customHeight="1">
      <x:c r="B72" s="3"/>
      <x:c r="G72" s="3"/>
      <x:c r="H72" s="20"/>
      <x:c r="I72" s="20"/>
      <x:c r="J72" s="20"/>
      <x:c r="K72" s="20"/>
      <x:c r="L72" s="139"/>
      <x:c r="M72" s="131"/>
      <x:c r="N72" s="162"/>
      <x:c r="O72" s="162"/>
      <x:c r="P72" s="139"/>
      <x:c r="Q72" s="139"/>
      <x:c r="R72" s="139"/>
      <x:c r="S72" s="139"/>
      <x:c r="T72" s="2"/>
      <x:c r="U72" s="139"/>
      <x:c r="V72" s="139"/>
      <x:c r="W72" s="131"/>
      <x:c r="X72" s="2"/>
      <x:c r="Y72" s="2"/>
      <x:c r="Z72" s="2"/>
      <x:c r="AA72" s="2"/>
      <x:c r="AB72" s="2"/>
      <x:c r="AC72" s="2"/>
      <x:c r="AD72" s="2"/>
      <x:c r="AE72" s="2"/>
      <x:c r="AF72" s="2"/>
      <x:c r="AG72" s="2"/>
      <x:c r="AH72" s="2"/>
      <x:c r="AI72" s="2"/>
      <x:c r="AJ72" s="2"/>
      <x:c r="AK72" s="2"/>
    </x:row>
    <x:row r="73" ht="16.5" customHeight="1">
      <x:c r="B73" s="3"/>
      <x:c r="G73" s="3"/>
      <x:c r="H73" s="20"/>
      <x:c r="I73" s="20"/>
      <x:c r="J73" s="20"/>
      <x:c r="K73" s="20"/>
      <x:c r="L73" s="139"/>
      <x:c r="M73" s="131"/>
      <x:c r="N73" s="162"/>
      <x:c r="O73" s="162"/>
      <x:c r="P73" s="362"/>
      <x:c r="Q73" s="362"/>
      <x:c r="R73" s="163" t="n">
        <x:f>SUM(R29:R71)</x:f>
        <x:v>0</x:v>
      </x:c>
      <x:c r="S73" s="163" t="n">
        <x:f>SUM(S29:S71)</x:f>
        <x:v>0</x:v>
      </x:c>
      <x:c r="T73" s="2"/>
      <x:c r="U73" s="139"/>
      <x:c r="V73" s="139"/>
      <x:c r="W73" s="131"/>
      <x:c r="X73" s="2"/>
      <x:c r="Y73" s="2"/>
      <x:c r="Z73" s="2"/>
      <x:c r="AA73" s="2"/>
      <x:c r="AB73" s="2"/>
      <x:c r="AC73" s="2"/>
      <x:c r="AD73" s="2"/>
      <x:c r="AE73" s="2"/>
      <x:c r="AF73" s="2"/>
      <x:c r="AG73" s="2"/>
      <x:c r="AH73" s="2"/>
      <x:c r="AI73" s="2"/>
      <x:c r="AJ73" s="2"/>
      <x:c r="AK73" s="2"/>
    </x:row>
    <x:row r="74" ht="15" customHeight="1">
      <x:c r="L74" s="2"/>
      <x:c r="M74" s="2"/>
      <x:c r="N74" s="2"/>
      <x:c r="O74" s="2"/>
      <x:c r="P74" s="2"/>
      <x:c r="Q74" s="2"/>
      <x:c r="R74" s="2"/>
      <x:c r="S74" s="2"/>
      <x:c r="T74" s="2"/>
      <x:c r="U74" s="2"/>
      <x:c r="V74" s="2"/>
      <x:c r="W74" s="2"/>
      <x:c r="X74" s="2"/>
      <x:c r="Y74" s="2"/>
      <x:c r="Z74" s="2"/>
      <x:c r="AA74" s="2"/>
      <x:c r="AB74" s="2"/>
      <x:c r="AC74" s="2"/>
      <x:c r="AD74" s="2"/>
      <x:c r="AE74" s="2"/>
      <x:c r="AF74" s="2"/>
      <x:c r="AG74" s="2"/>
      <x:c r="AH74" s="2"/>
      <x:c r="AI74" s="2"/>
      <x:c r="AJ74" s="2"/>
      <x:c r="AK74" s="2"/>
    </x:row>
    <x:row r="75" ht="16.5" customHeight="1">
      <x:c r="J75" s="300" t="s">
        <x:v>49</x:v>
      </x:c>
      <x:c r="K75" s="301"/>
      <x:c r="L75" s="302"/>
      <x:c r="M75" s="56"/>
      <x:c r="N75" s="432" t="n">
        <x:f>SUM(N29:O71)</x:f>
        <x:v>0</x:v>
      </x:c>
      <x:c r="O75" s="302"/>
      <x:c r="P75" s="432" t="n">
        <x:f>SUM(P29:P74)</x:f>
        <x:v>0</x:v>
      </x:c>
      <x:c r="Q75" s="302"/>
      <x:c r="R75" s="56"/>
      <x:c r="S75" s="56"/>
      <x:c r="T75" s="56"/>
      <x:c r="U75" s="432" t="n">
        <x:f>U67+U69+U71</x:f>
        <x:v>0</x:v>
      </x:c>
      <x:c r="V75" s="433"/>
      <x:c r="W75" s="302"/>
      <x:c r="X75" s="56"/>
      <x:c r="Y75" s="432" t="n">
        <x:f>SUM(Y29:AA69)</x:f>
        <x:v>0</x:v>
      </x:c>
      <x:c r="Z75" s="301"/>
      <x:c r="AA75" s="302"/>
      <x:c r="AB75" s="56"/>
      <x:c r="AC75" s="57" t="n">
        <x:f>AC29+AC31+AC33</x:f>
        <x:v>0</x:v>
      </x:c>
      <x:c r="AD75" s="56"/>
      <x:c r="AE75" s="57" t="n">
        <x:f>AE35+AE37+AE39+AE41+AE43+AE63</x:f>
        <x:v>0</x:v>
      </x:c>
      <x:c r="AF75" s="56"/>
      <x:c r="AG75" s="57" t="n">
        <x:f>AG29+AG31+AG33</x:f>
        <x:v>0</x:v>
      </x:c>
      <x:c r="AH75" s="56"/>
      <x:c r="AI75" s="57" t="n">
        <x:f>AI37+AI35+AI39+AI41+AI43+AI63</x:f>
        <x:v>0</x:v>
      </x:c>
      <x:c r="AJ75" s="56"/>
      <x:c r="AK75" s="60" t="n">
        <x:f>AK63+AK43+AK33</x:f>
        <x:v>0</x:v>
      </x:c>
      <x:c r="AL75" s="56"/>
    </x:row>
    <x:row r="76" ht="16.5" customHeight="1">
      <x:c r="J76" s="56"/>
      <x:c r="K76" s="56"/>
      <x:c r="L76" s="56"/>
      <x:c r="M76" s="56"/>
      <x:c r="N76" s="56"/>
      <x:c r="O76" s="56"/>
      <x:c r="P76" s="56"/>
      <x:c r="Q76" s="56"/>
      <x:c r="R76" s="56"/>
      <x:c r="S76" s="56"/>
      <x:c r="T76" s="56"/>
      <x:c r="U76" s="56"/>
      <x:c r="V76" s="56"/>
      <x:c r="W76" s="56"/>
      <x:c r="X76" s="56"/>
      <x:c r="Y76" s="56"/>
      <x:c r="Z76" s="56"/>
      <x:c r="AA76" s="56"/>
      <x:c r="AB76" s="56"/>
      <x:c r="AC76" s="58" t="s">
        <x:v>170</x:v>
      </x:c>
      <x:c r="AD76" s="59"/>
      <x:c r="AE76" s="58" t="s">
        <x:v>171</x:v>
      </x:c>
      <x:c r="AF76" s="59"/>
      <x:c r="AG76" s="58" t="s">
        <x:v>170</x:v>
      </x:c>
      <x:c r="AH76" s="59"/>
      <x:c r="AI76" s="58" t="s">
        <x:v>171</x:v>
      </x:c>
      <x:c r="AJ76" s="59"/>
      <x:c r="AK76" s="58" t="s">
        <x:v>172</x:v>
      </x:c>
      <x:c r="AL76" s="56"/>
    </x:row>
    <x:row r="80" ht="18.75">
      <x:c r="B80" s="127" t="s">
        <x:v>1</x:v>
      </x:c>
      <x:c r="C80" s="127" t="s">
        <x:v>173</x:v>
      </x:c>
      <x:c r="D80" s="127"/>
      <x:c r="E80" s="127"/>
      <x:c r="F80" s="127"/>
    </x:row>
    <x:row r="81" ht="18.75">
      <x:c r="B81" s="127" t="s">
        <x:v>3</x:v>
      </x:c>
      <x:c r="C81" s="127" t="s">
        <x:v>174</x:v>
      </x:c>
      <x:c r="D81" s="127"/>
      <x:c r="E81" s="127"/>
      <x:c r="F81" s="127"/>
    </x:row>
    <x:row r="82" ht="18.75">
      <x:c r="B82" s="127" t="s">
        <x:v>5</x:v>
      </x:c>
      <x:c r="C82" s="127" t="s">
        <x:v>175</x:v>
      </x:c>
      <x:c r="D82" s="127"/>
      <x:c r="E82" s="127"/>
      <x:c r="F82" s="127"/>
    </x:row>
    <x:row r="83" ht="18.75">
      <x:c r="B83" s="127" t="s">
        <x:v>7</x:v>
      </x:c>
      <x:c r="C83" s="127" t="s">
        <x:v>176</x:v>
      </x:c>
      <x:c r="D83" s="127"/>
      <x:c r="E83" s="127"/>
      <x:c r="F83" s="127"/>
    </x:row>
    <x:row r="84" ht="18.75">
      <x:c r="B84" s="127" t="s">
        <x:v>9</x:v>
      </x:c>
      <x:c r="C84" s="127" t="s">
        <x:v>177</x:v>
      </x:c>
      <x:c r="D84" s="127"/>
      <x:c r="E84" s="127"/>
      <x:c r="F84" s="127"/>
    </x:row>
    <x:row r="85" ht="18.75">
      <x:c r="B85" s="127" t="s">
        <x:v>11</x:v>
      </x:c>
      <x:c r="C85" s="127" t="s">
        <x:v>178</x:v>
      </x:c>
      <x:c r="D85" s="127"/>
      <x:c r="E85" s="127"/>
      <x:c r="F85" s="127"/>
    </x:row>
    <x:row r="86" ht="18.75">
      <x:c r="B86" s="127" t="s">
        <x:v>13</x:v>
      </x:c>
      <x:c r="C86" s="127" t="s">
        <x:v>179</x:v>
      </x:c>
      <x:c r="D86" s="127"/>
      <x:c r="E86" s="127"/>
      <x:c r="F86" s="127"/>
    </x:row>
    <x:row r="87" ht="18.75">
      <x:c r="B87" s="127" t="s">
        <x:v>15</x:v>
      </x:c>
      <x:c r="C87" s="127" t="s">
        <x:v>180</x:v>
      </x:c>
      <x:c r="D87" s="127"/>
      <x:c r="E87" s="127"/>
      <x:c r="F87" s="127"/>
    </x:row>
  </x:sheetData>
  <x:mergeCells>
    <x:mergeCell ref="C45:F45"/>
    <x:mergeCell ref="C47:F47"/>
    <x:mergeCell ref="C49:F49"/>
    <x:mergeCell ref="C51:F51"/>
    <x:mergeCell ref="C53:F53"/>
    <x:mergeCell ref="C55:F55"/>
    <x:mergeCell ref="C57:F57"/>
    <x:mergeCell ref="C35:F35"/>
    <x:mergeCell ref="C37:F37"/>
    <x:mergeCell ref="C39:F39"/>
    <x:mergeCell ref="C41:F41"/>
    <x:mergeCell ref="J75:L75"/>
    <x:mergeCell ref="P73:Q73"/>
    <x:mergeCell ref="Y75:AA75"/>
    <x:mergeCell ref="N75:O75"/>
    <x:mergeCell ref="P75:Q75"/>
    <x:mergeCell ref="U75:W75"/>
    <x:mergeCell ref="Y38:AA38"/>
    <x:mergeCell ref="Y45:AA45"/>
    <x:mergeCell ref="Y35:AA35"/>
    <x:mergeCell ref="H61:K61"/>
    <x:mergeCell ref="L61:M61"/>
    <x:mergeCell ref="N61:O61"/>
    <x:mergeCell ref="P61:Q61"/>
    <x:mergeCell ref="U61:W61"/>
    <x:mergeCell ref="Y59:AA59"/>
    <x:mergeCell ref="H59:K59"/>
    <x:mergeCell ref="L59:M59"/>
    <x:mergeCell ref="N59:O59"/>
    <x:mergeCell ref="P59:Q59"/>
    <x:mergeCell ref="U59:W59"/>
    <x:mergeCell ref="Y61:AA61"/>
    <x:mergeCell ref="H57:K57"/>
    <x:mergeCell ref="L57:M57"/>
    <x:mergeCell ref="N57:O57"/>
    <x:mergeCell ref="C71:F71"/>
    <x:mergeCell ref="H71:K71"/>
    <x:mergeCell ref="L71:M71"/>
    <x:mergeCell ref="N71:O71"/>
    <x:mergeCell ref="P71:Q71"/>
    <x:mergeCell ref="U71:W71"/>
    <x:mergeCell ref="Y67:AA67"/>
    <x:mergeCell ref="U67:W67"/>
    <x:mergeCell ref="Y69:AA69"/>
    <x:mergeCell ref="C59:F59"/>
    <x:mergeCell ref="C43:F43"/>
    <x:mergeCell ref="C69:F69"/>
    <x:mergeCell ref="H69:K69"/>
    <x:mergeCell ref="L69:M69"/>
    <x:mergeCell ref="N69:O69"/>
    <x:mergeCell ref="P69:Q69"/>
    <x:mergeCell ref="U69:W69"/>
    <x:mergeCell ref="Y71:AA71"/>
    <x:mergeCell ref="C65:F65"/>
    <x:mergeCell ref="H65:K65"/>
    <x:mergeCell ref="L65:M65"/>
    <x:mergeCell ref="N65:O65"/>
    <x:mergeCell ref="P65:Q65"/>
    <x:mergeCell ref="U65:W65"/>
    <x:mergeCell ref="Y63:AA63"/>
    <x:mergeCell ref="C63:F63"/>
    <x:mergeCell ref="H63:K63"/>
    <x:mergeCell ref="L63:M63"/>
    <x:mergeCell ref="N63:O63"/>
    <x:mergeCell ref="P63:Q63"/>
    <x:mergeCell ref="U63:W63"/>
    <x:mergeCell ref="Y65:AA65"/>
    <x:mergeCell ref="C61:F61"/>
    <x:mergeCell ref="P57:Q57"/>
    <x:mergeCell ref="U57:W57"/>
    <x:mergeCell ref="Y55:AA55"/>
    <x:mergeCell ref="H55:K55"/>
    <x:mergeCell ref="L55:M55"/>
    <x:mergeCell ref="N55:O55"/>
    <x:mergeCell ref="P55:Q55"/>
    <x:mergeCell ref="U55:W55"/>
    <x:mergeCell ref="Y57:AA57"/>
    <x:mergeCell ref="H53:K53"/>
    <x:mergeCell ref="L53:M53"/>
    <x:mergeCell ref="N53:O53"/>
    <x:mergeCell ref="P53:Q53"/>
    <x:mergeCell ref="U53:W53"/>
    <x:mergeCell ref="Y51:AA51"/>
    <x:mergeCell ref="H51:K51"/>
    <x:mergeCell ref="L51:M51"/>
    <x:mergeCell ref="N51:O51"/>
    <x:mergeCell ref="P51:Q51"/>
    <x:mergeCell ref="U51:W51"/>
    <x:mergeCell ref="Y53:AA53"/>
    <x:mergeCell ref="H49:K49"/>
    <x:mergeCell ref="L49:M49"/>
    <x:mergeCell ref="N49:O49"/>
    <x:mergeCell ref="P49:Q49"/>
    <x:mergeCell ref="U49:W49"/>
    <x:mergeCell ref="Y47:AA47"/>
    <x:mergeCell ref="H47:K47"/>
    <x:mergeCell ref="L47:M47"/>
    <x:mergeCell ref="N47:O47"/>
    <x:mergeCell ref="P47:Q47"/>
    <x:mergeCell ref="U47:W47"/>
    <x:mergeCell ref="Y49:AA49"/>
    <x:mergeCell ref="H45:K45"/>
    <x:mergeCell ref="L45:M45"/>
    <x:mergeCell ref="N45:O45"/>
    <x:mergeCell ref="P45:Q45"/>
    <x:mergeCell ref="U45:W45"/>
    <x:mergeCell ref="H43:K43"/>
    <x:mergeCell ref="L43:M43"/>
    <x:mergeCell ref="N43:O43"/>
    <x:mergeCell ref="U43:W43"/>
    <x:mergeCell ref="H41:K41"/>
    <x:mergeCell ref="L41:M41"/>
    <x:mergeCell ref="N41:O41"/>
    <x:mergeCell ref="U41:W41"/>
    <x:mergeCell ref="Y43:AA43"/>
    <x:mergeCell ref="H35:K35"/>
    <x:mergeCell ref="L35:M35"/>
    <x:mergeCell ref="N35:O35"/>
    <x:mergeCell ref="U35:W35"/>
    <x:mergeCell ref="H39:K39"/>
    <x:mergeCell ref="L39:M39"/>
    <x:mergeCell ref="N39:O39"/>
    <x:mergeCell ref="U39:W39"/>
    <x:mergeCell ref="Y41:AA41"/>
    <x:mergeCell ref="H37:K37"/>
    <x:mergeCell ref="L37:M37"/>
    <x:mergeCell ref="N37:O37"/>
    <x:mergeCell ref="U37:W37"/>
    <x:mergeCell ref="Y37:AA37"/>
    <x:mergeCell ref="C33:F33"/>
    <x:mergeCell ref="H31:K31"/>
    <x:mergeCell ref="L31:M31"/>
    <x:mergeCell ref="N31:O31"/>
    <x:mergeCell ref="U31:W31"/>
    <x:mergeCell ref="Y31:AA31"/>
    <x:mergeCell ref="H29:K29"/>
    <x:mergeCell ref="L29:M29"/>
    <x:mergeCell ref="N29:O29"/>
    <x:mergeCell ref="U29:W29"/>
    <x:mergeCell ref="Y29:AA29"/>
    <x:mergeCell ref="H33:K33"/>
    <x:mergeCell ref="L33:M33"/>
    <x:mergeCell ref="N33:O33"/>
    <x:mergeCell ref="U33:W33"/>
    <x:mergeCell ref="Y33:AA33"/>
    <x:mergeCell ref="C29:F29"/>
    <x:mergeCell ref="C31:F31"/>
    <x:mergeCell ref="B27:F27"/>
    <x:mergeCell ref="H27:K27"/>
    <x:mergeCell ref="L27:M27"/>
    <x:mergeCell ref="N27:O27"/>
    <x:mergeCell ref="U27:W27"/>
    <x:mergeCell ref="Y27:AA27"/>
    <x:mergeCell ref="AC20:AD20"/>
    <x:mergeCell ref="C22:D22"/>
    <x:mergeCell ref="F22:G22"/>
    <x:mergeCell ref="I22:J22"/>
    <x:mergeCell ref="L22:M22"/>
    <x:mergeCell ref="O22:P22"/>
    <x:mergeCell ref="R22:S22"/>
    <x:mergeCell ref="AC22:AD22"/>
    <x:mergeCell ref="C20:D20"/>
    <x:mergeCell ref="F20:G20"/>
    <x:mergeCell ref="I20:J20"/>
    <x:mergeCell ref="L20:M20"/>
    <x:mergeCell ref="O20:P20"/>
    <x:mergeCell ref="R20:S20"/>
    <x:mergeCell ref="T20:V20"/>
    <x:mergeCell ref="W20:Y20"/>
    <x:mergeCell ref="W22:Y22"/>
    <x:mergeCell ref="AC18:AD18"/>
    <x:mergeCell ref="C19:D19"/>
    <x:mergeCell ref="F19:G19"/>
    <x:mergeCell ref="I19:J19"/>
    <x:mergeCell ref="L19:M19"/>
    <x:mergeCell ref="O19:P19"/>
    <x:mergeCell ref="R19:S19"/>
    <x:mergeCell ref="AC19:AD19"/>
    <x:mergeCell ref="C18:D18"/>
    <x:mergeCell ref="F18:G18"/>
    <x:mergeCell ref="I18:J18"/>
    <x:mergeCell ref="L18:M18"/>
    <x:mergeCell ref="O18:P18"/>
    <x:mergeCell ref="R18:S18"/>
    <x:mergeCell ref="W18:Y18"/>
    <x:mergeCell ref="W19:Y19"/>
    <x:mergeCell ref="AC16:AD16"/>
    <x:mergeCell ref="C17:D17"/>
    <x:mergeCell ref="F17:G17"/>
    <x:mergeCell ref="I17:J17"/>
    <x:mergeCell ref="L17:M17"/>
    <x:mergeCell ref="O17:P17"/>
    <x:mergeCell ref="R17:S17"/>
    <x:mergeCell ref="AC17:AD17"/>
    <x:mergeCell ref="C16:D16"/>
    <x:mergeCell ref="F16:G16"/>
    <x:mergeCell ref="I16:J16"/>
    <x:mergeCell ref="L16:M16"/>
    <x:mergeCell ref="O16:P16"/>
    <x:mergeCell ref="R16:S16"/>
    <x:mergeCell ref="W16:Y16"/>
    <x:mergeCell ref="W17:Y17"/>
    <x:mergeCell ref="C14:G14"/>
    <x:mergeCell ref="H9:N9"/>
    <x:mergeCell ref="Y9:AF9"/>
    <x:mergeCell ref="D2:I2"/>
    <x:mergeCell ref="D3:G3"/>
    <x:mergeCell ref="H3:I3"/>
    <x:mergeCell ref="P3:V3"/>
    <x:mergeCell ref="P4:V4"/>
    <x:mergeCell ref="I12:M13"/>
    <x:mergeCell ref="O12:S13"/>
    <x:mergeCell ref="C12:G13"/>
    <x:mergeCell ref="Y7:AF8"/>
    <x:mergeCell ref="H7:N8"/>
    <x:mergeCell ref="V12:AA13"/>
    <x:mergeCell ref="V14:AA14"/>
    <x:mergeCell ref="I14:M14"/>
    <x:mergeCell ref="O14:S14"/>
  </x:mergeCells>
  <x:hyperlinks>
    <x:hyperlink xmlns:r="http://schemas.openxmlformats.org/officeDocument/2006/relationships" ref="C29" r:id="R144214a18dcb4da5"/>
    <x:hyperlink xmlns:r="http://schemas.openxmlformats.org/officeDocument/2006/relationships" ref="C31" r:id="R89f7560bcbc84f25"/>
    <x:hyperlink xmlns:r="http://schemas.openxmlformats.org/officeDocument/2006/relationships" ref="C33" r:id="Re52a7c98f8f849d1"/>
    <x:hyperlink xmlns:r="http://schemas.openxmlformats.org/officeDocument/2006/relationships" ref="C35" r:id="Rb66590de43a54b9a"/>
    <x:hyperlink xmlns:r="http://schemas.openxmlformats.org/officeDocument/2006/relationships" ref="C37" r:id="R2fa3116c7b064669"/>
    <x:hyperlink xmlns:r="http://schemas.openxmlformats.org/officeDocument/2006/relationships" ref="C39" r:id="Red480bdcd30841a8"/>
    <x:hyperlink xmlns:r="http://schemas.openxmlformats.org/officeDocument/2006/relationships" ref="C41" r:id="R0d21547895b04337"/>
    <x:hyperlink xmlns:r="http://schemas.openxmlformats.org/officeDocument/2006/relationships" ref="C43" r:id="R4095040e8a954b80"/>
    <x:hyperlink xmlns:r="http://schemas.openxmlformats.org/officeDocument/2006/relationships" ref="C45" r:id="R1cf10259d7c64d98"/>
    <x:hyperlink xmlns:r="http://schemas.openxmlformats.org/officeDocument/2006/relationships" ref="C47" r:id="R016da7fff6e64ed2"/>
    <x:hyperlink xmlns:r="http://schemas.openxmlformats.org/officeDocument/2006/relationships" ref="C49" r:id="R4601905cfa51433d"/>
    <x:hyperlink xmlns:r="http://schemas.openxmlformats.org/officeDocument/2006/relationships" ref="C51" r:id="R2f08c9d23ab24c8f"/>
    <x:hyperlink xmlns:r="http://schemas.openxmlformats.org/officeDocument/2006/relationships" ref="C53" r:id="R5258c6034add49d0"/>
    <x:hyperlink xmlns:r="http://schemas.openxmlformats.org/officeDocument/2006/relationships" ref="C55" r:id="R46f1a240a2b546ba"/>
    <x:hyperlink xmlns:r="http://schemas.openxmlformats.org/officeDocument/2006/relationships" ref="C57" r:id="R9fc989dc89904846"/>
    <x:hyperlink xmlns:r="http://schemas.openxmlformats.org/officeDocument/2006/relationships" ref="C59" r:id="R35e974c8548f4f04"/>
  </x:hyperlinks>
  <x:pageMargins left="0.7" right="0.7" top="0.75" bottom="0.75" header="0.3" footer="0.3"/>
  <x:drawing xmlns:r="http://schemas.openxmlformats.org/officeDocument/2006/relationships" r:id="R34f0127e514c4084"/>
</x:worksheet>
</file>

<file path=xl/worksheets/sheet3.xml><?xml version="1.0" encoding="utf-8"?>
<x:worksheet xmlns:x="http://schemas.openxmlformats.org/spreadsheetml/2006/main">
  <x:sheetViews>
    <x:sheetView showGridLines="0" workbookViewId="0"/>
  </x:sheetViews>
  <x:sheetFormatPr baseColWidth="10" defaultColWidth="10.7109375" defaultRowHeight="15"/>
  <x:cols>
    <x:col min="1" max="1" width="1.7109375" customWidth="1"/>
    <x:col min="2" max="2" width="5.7109375" customWidth="1"/>
    <x:col min="5" max="5" width="8.7109375" customWidth="1"/>
    <x:col min="6" max="6" width="11.7109375" customWidth="1"/>
    <x:col min="8" max="8" width="6.7109375" customWidth="1"/>
    <x:col min="11" max="11" width="8.7109375" customWidth="1"/>
    <x:col min="14" max="14" width="6.7109375" customWidth="1"/>
    <x:col min="16" max="19" width="12.7109375" customWidth="1"/>
    <x:col min="20" max="20" width="3.28515625" customWidth="1"/>
    <x:col min="21" max="21" width="2" customWidth="1"/>
    <x:col min="22" max="22" width="5.85546875" customWidth="1"/>
    <x:col min="23" max="23" width="13.7109375" customWidth="1"/>
    <x:col min="24" max="24" width="6" customWidth="1"/>
    <x:col min="25" max="25" width="4.7109375" customWidth="1"/>
    <x:col min="26" max="26" width="2.7109375" customWidth="1"/>
    <x:col min="27" max="27" width="5.7109375" customWidth="1"/>
    <x:col min="28" max="28" width="2.7109375" customWidth="1"/>
    <x:col min="29" max="29" width="16.5703125" customWidth="1"/>
    <x:col min="30" max="30" width="2.7109375" customWidth="1"/>
    <x:col min="31" max="31" width="17.7109375" customWidth="1"/>
    <x:col min="32" max="32" width="2.7109375" customWidth="1"/>
    <x:col min="33" max="33" width="17.7109375" customWidth="1"/>
    <x:col min="34" max="34" width="2.7109375" customWidth="1"/>
    <x:col min="35" max="35" width="17.7109375" customWidth="1"/>
    <x:col min="36" max="36" width="2.7109375" customWidth="1"/>
    <x:col min="37" max="37" width="16.140625" customWidth="1"/>
    <x:col min="38" max="38" width="9.140625" customWidth="1"/>
  </x:cols>
  <x:sheetData>
    <x:row r="1" ht="15.75"/>
    <x:row r="2" ht="24" customHeight="1">
      <x:c r="D2" s="230" t="s">
        <x:v>50</x:v>
      </x:c>
      <x:c r="E2" s="231"/>
      <x:c r="F2" s="231"/>
      <x:c r="G2" s="231"/>
      <x:c r="H2" s="231"/>
      <x:c r="I2" s="232"/>
    </x:row>
    <x:row r="3" ht="33.95000076293945" customHeight="1">
      <x:c r="D3" s="479" t="n">
        <x:f>Gesamtanlage!D2</x:f>
        <x:v>0</x:v>
      </x:c>
      <x:c r="E3" s="480"/>
      <x:c r="F3" s="480"/>
      <x:c r="G3" s="481"/>
      <x:c r="H3" s="236" t="n">
        <x:f ca="1">TODAY()</x:f>
        <x:v>46247</x:v>
      </x:c>
      <x:c r="I3" s="237"/>
      <x:c r="P3" s="238" t="s">
        <x:v>51</x:v>
      </x:c>
      <x:c r="Q3" s="239"/>
      <x:c r="R3" s="239"/>
      <x:c r="S3" s="239"/>
      <x:c r="T3" s="239"/>
      <x:c r="U3" s="239"/>
      <x:c r="V3" s="240"/>
    </x:row>
    <x:row r="4" ht="24" customHeight="1">
      <x:c r="D4" s="52"/>
      <x:c r="E4" s="52"/>
      <x:c r="F4" s="52"/>
      <x:c r="G4" s="52"/>
      <x:c r="H4" s="51"/>
      <x:c r="I4" s="51"/>
      <x:c r="P4" s="227" t="n">
        <x:f>H9+Y9</x:f>
        <x:v>0</x:v>
      </x:c>
      <x:c r="Q4" s="228"/>
      <x:c r="R4" s="228"/>
      <x:c r="S4" s="228"/>
      <x:c r="T4" s="228"/>
      <x:c r="U4" s="228"/>
      <x:c r="V4" s="229"/>
    </x:row>
    <x:row r="5" ht="24" customHeight="1">
      <x:c r="D5" s="52"/>
      <x:c r="E5" s="52"/>
      <x:c r="F5" s="52"/>
      <x:c r="G5" s="52"/>
      <x:c r="H5" s="51"/>
      <x:c r="I5" s="51"/>
    </x:row>
    <x:row r="6" ht="24" customHeight="1">
      <x:c r="D6" s="52"/>
      <x:c r="E6" s="52"/>
      <x:c r="F6" s="52"/>
      <x:c r="G6" s="52"/>
      <x:c r="H6" s="51"/>
      <x:c r="I6" s="51"/>
    </x:row>
    <x:row r="7" ht="17.100000381469727" customHeight="1">
      <x:c r="H7" s="241" t="s">
        <x:v>52</x:v>
      </x:c>
      <x:c r="I7" s="242"/>
      <x:c r="J7" s="242"/>
      <x:c r="K7" s="242"/>
      <x:c r="L7" s="242"/>
      <x:c r="M7" s="242"/>
      <x:c r="N7" s="243"/>
      <x:c r="Y7" s="241" t="s">
        <x:v>53</x:v>
      </x:c>
      <x:c r="Z7" s="242"/>
      <x:c r="AA7" s="242"/>
      <x:c r="AB7" s="242"/>
      <x:c r="AC7" s="242"/>
      <x:c r="AD7" s="242"/>
      <x:c r="AE7" s="242"/>
      <x:c r="AF7" s="243"/>
    </x:row>
    <x:row r="8" ht="17.100000381469727" customHeight="1">
      <x:c r="H8" s="244"/>
      <x:c r="I8" s="245"/>
      <x:c r="J8" s="245"/>
      <x:c r="K8" s="245"/>
      <x:c r="L8" s="245"/>
      <x:c r="M8" s="245"/>
      <x:c r="N8" s="246"/>
      <x:c r="Y8" s="244"/>
      <x:c r="Z8" s="245"/>
      <x:c r="AA8" s="245"/>
      <x:c r="AB8" s="245"/>
      <x:c r="AC8" s="245"/>
      <x:c r="AD8" s="245"/>
      <x:c r="AE8" s="245"/>
      <x:c r="AF8" s="246"/>
    </x:row>
    <x:row r="9" ht="24" customHeight="1">
      <x:c r="H9" s="227" t="n">
        <x:f>P75-U69</x:f>
        <x:v>0</x:v>
      </x:c>
      <x:c r="I9" s="228"/>
      <x:c r="J9" s="228"/>
      <x:c r="K9" s="228"/>
      <x:c r="L9" s="228"/>
      <x:c r="M9" s="228"/>
      <x:c r="N9" s="229"/>
      <x:c r="Y9" s="227" t="n">
        <x:f>U69</x:f>
        <x:v>0</x:v>
      </x:c>
      <x:c r="Z9" s="228"/>
      <x:c r="AA9" s="228"/>
      <x:c r="AB9" s="228"/>
      <x:c r="AC9" s="228"/>
      <x:c r="AD9" s="228"/>
      <x:c r="AE9" s="228"/>
      <x:c r="AF9" s="229"/>
    </x:row>
    <x:row r="10" ht="24" customHeight="1"/>
    <x:row r="11" ht="30" customHeight="1"/>
    <x:row r="12" ht="17.100000381469727" customHeight="1">
      <x:c r="C12" s="241" t="s">
        <x:v>181</x:v>
      </x:c>
      <x:c r="D12" s="242"/>
      <x:c r="E12" s="242"/>
      <x:c r="F12" s="242"/>
      <x:c r="G12" s="243"/>
      <x:c r="I12" s="241" t="s">
        <x:v>182</x:v>
      </x:c>
      <x:c r="J12" s="242"/>
      <x:c r="K12" s="242"/>
      <x:c r="L12" s="242"/>
      <x:c r="M12" s="243"/>
      <x:c r="O12" s="241" t="s">
        <x:v>56</x:v>
      </x:c>
      <x:c r="P12" s="242"/>
      <x:c r="Q12" s="242"/>
      <x:c r="R12" s="242"/>
      <x:c r="S12" s="243"/>
      <x:c r="V12" s="241" t="s">
        <x:v>57</x:v>
      </x:c>
      <x:c r="W12" s="242"/>
      <x:c r="X12" s="242"/>
      <x:c r="Y12" s="242"/>
      <x:c r="Z12" s="242"/>
      <x:c r="AA12" s="243"/>
      <x:c r="AB12" s="181"/>
    </x:row>
    <x:row r="13" s="2" customFormat="1" ht="17.100000381469727" customHeight="1">
      <x:c r="C13" s="244"/>
      <x:c r="D13" s="245"/>
      <x:c r="E13" s="245"/>
      <x:c r="F13" s="245"/>
      <x:c r="G13" s="246"/>
      <x:c r="I13" s="244"/>
      <x:c r="J13" s="245"/>
      <x:c r="K13" s="245"/>
      <x:c r="L13" s="245"/>
      <x:c r="M13" s="246"/>
      <x:c r="O13" s="244"/>
      <x:c r="P13" s="245"/>
      <x:c r="Q13" s="245"/>
      <x:c r="R13" s="245"/>
      <x:c r="S13" s="246"/>
      <x:c r="V13" s="482"/>
      <x:c r="W13" s="483"/>
      <x:c r="X13" s="483"/>
      <x:c r="Y13" s="483"/>
      <x:c r="Z13" s="483"/>
      <x:c r="AA13" s="484"/>
      <x:c r="AB13" s="181"/>
      <x:c r="AC13" s="38"/>
      <x:c r="AE13" s="168"/>
    </x:row>
    <x:row r="14" ht="24" customHeight="1">
      <x:c r="C14" s="227" t="n">
        <x:f>H9*50/100</x:f>
        <x:v>0</x:v>
      </x:c>
      <x:c r="D14" s="228"/>
      <x:c r="E14" s="228"/>
      <x:c r="F14" s="228"/>
      <x:c r="G14" s="229"/>
      <x:c r="I14" s="227" t="n">
        <x:f>H9*30/100</x:f>
        <x:v>0</x:v>
      </x:c>
      <x:c r="J14" s="228"/>
      <x:c r="K14" s="228"/>
      <x:c r="L14" s="228"/>
      <x:c r="M14" s="229"/>
      <x:c r="O14" s="227" t="n">
        <x:f>H9*10/100</x:f>
        <x:v>0</x:v>
      </x:c>
      <x:c r="P14" s="228"/>
      <x:c r="Q14" s="228"/>
      <x:c r="R14" s="228"/>
      <x:c r="S14" s="229"/>
      <x:c r="V14" s="227" t="n">
        <x:f>H9*10/100</x:f>
        <x:v>0</x:v>
      </x:c>
      <x:c r="W14" s="228"/>
      <x:c r="X14" s="228"/>
      <x:c r="Y14" s="228"/>
      <x:c r="Z14" s="228"/>
      <x:c r="AA14" s="229"/>
      <x:c r="AB14" s="1"/>
      <x:c r="AC14" s="1"/>
    </x:row>
    <x:row r="15" ht="60" customHeight="1"/>
    <x:row r="16" s="2" customFormat="1" ht="15.75">
      <x:c r="C16" s="261" t="s">
        <x:v>58</x:v>
      </x:c>
      <x:c r="D16" s="262"/>
      <x:c r="F16" s="263" t="s">
        <x:v>58</x:v>
      </x:c>
      <x:c r="G16" s="264"/>
      <x:c r="H16" s="10"/>
      <x:c r="I16" s="265" t="s">
        <x:v>59</x:v>
      </x:c>
      <x:c r="J16" s="266"/>
      <x:c r="L16" s="267" t="s">
        <x:v>60</x:v>
      </x:c>
      <x:c r="M16" s="268"/>
      <x:c r="O16" s="269" t="s">
        <x:v>61</x:v>
      </x:c>
      <x:c r="P16" s="270"/>
      <x:c r="R16" s="269" t="s">
        <x:v>62</x:v>
      </x:c>
      <x:c r="S16" s="270"/>
      <x:c r="T16" s="10"/>
      <x:c r="W16" s="473" t="s">
        <x:v>183</x:v>
      </x:c>
      <x:c r="X16" s="474"/>
      <x:c r="Y16" s="475"/>
      <x:c r="Z16" s="10"/>
      <x:c r="AA16" s="10"/>
      <x:c r="AB16" s="10"/>
      <x:c r="AC16" s="247" t="s">
        <x:v>64</x:v>
      </x:c>
      <x:c r="AD16" s="248"/>
    </x:row>
    <x:row r="17" ht="15.75" customHeight="1">
      <x:c r="C17" s="249" t="s">
        <x:v>65</x:v>
      </x:c>
      <x:c r="D17" s="250"/>
      <x:c r="E17" s="39" t="s">
        <x:v>66</x:v>
      </x:c>
      <x:c r="F17" s="251" t="s">
        <x:v>67</x:v>
      </x:c>
      <x:c r="G17" s="252"/>
      <x:c r="H17" s="8"/>
      <x:c r="I17" s="253"/>
      <x:c r="J17" s="254"/>
      <x:c r="K17" s="40" t="s">
        <x:v>68</x:v>
      </x:c>
      <x:c r="L17" s="255" t="s">
        <x:v>69</x:v>
      </x:c>
      <x:c r="M17" s="256"/>
      <x:c r="O17" s="257" t="s">
        <x:v>70</x:v>
      </x:c>
      <x:c r="P17" s="258"/>
      <x:c r="Q17" s="40" t="s">
        <x:v>66</x:v>
      </x:c>
      <x:c r="R17" s="257" t="s">
        <x:v>71</x:v>
      </x:c>
      <x:c r="S17" s="258"/>
      <x:c r="T17" s="8"/>
      <x:c r="W17" s="476" t="s">
        <x:v>32</x:v>
      </x:c>
      <x:c r="X17" s="477"/>
      <x:c r="Y17" s="478"/>
      <x:c r="Z17" s="8"/>
      <x:c r="AA17" s="8"/>
      <x:c r="AB17" s="8"/>
      <x:c r="AC17" s="259" t="s">
        <x:v>72</x:v>
      </x:c>
      <x:c r="AD17" s="260"/>
    </x:row>
    <x:row r="18" ht="21.75">
      <x:c r="C18" s="283" t="n">
        <x:f>C14/2</x:f>
        <x:v>0</x:v>
      </x:c>
      <x:c r="D18" s="284"/>
      <x:c r="E18" s="39" t="s">
        <x:v>73</x:v>
      </x:c>
      <x:c r="F18" s="285" t="n">
        <x:f>C14/2</x:f>
        <x:v>0</x:v>
      </x:c>
      <x:c r="G18" s="286"/>
      <x:c r="H18" s="1"/>
      <x:c r="I18" s="287" t="n">
        <x:f>I14*50/100</x:f>
        <x:v>0</x:v>
      </x:c>
      <x:c r="J18" s="288"/>
      <x:c r="L18" s="289" t="n">
        <x:f>I14*50/100</x:f>
        <x:v>0</x:v>
      </x:c>
      <x:c r="M18" s="290"/>
      <x:c r="O18" s="291" t="n">
        <x:f>O14*50/100</x:f>
        <x:v>0</x:v>
      </x:c>
      <x:c r="P18" s="292"/>
      <x:c r="Q18" s="41" t="s">
        <x:v>73</x:v>
      </x:c>
      <x:c r="R18" s="291" t="n">
        <x:f>O14*50/100</x:f>
        <x:v>0</x:v>
      </x:c>
      <x:c r="S18" s="292"/>
      <x:c r="T18" s="1"/>
      <x:c r="W18" s="485" t="n">
        <x:f>V14</x:f>
        <x:v>0</x:v>
      </x:c>
      <x:c r="X18" s="486"/>
      <x:c r="Y18" s="487"/>
      <x:c r="Z18" s="1"/>
      <x:c r="AA18" s="1"/>
      <x:c r="AB18" s="1"/>
      <x:c r="AC18" s="277" t="n">
        <x:f>U69</x:f>
        <x:v>0</x:v>
      </x:c>
      <x:c r="AD18" s="278"/>
    </x:row>
    <x:row r="19" s="5" customFormat="1" ht="21.75">
      <x:c r="C19" s="279" t="s">
        <x:v>74</x:v>
      </x:c>
      <x:c r="D19" s="280"/>
      <x:c r="F19" s="281" t="s">
        <x:v>75</x:v>
      </x:c>
      <x:c r="G19" s="282"/>
      <x:c r="I19" s="281" t="s">
        <x:v>76</x:v>
      </x:c>
      <x:c r="J19" s="282"/>
      <x:c r="L19" s="281" t="s">
        <x:v>77</x:v>
      </x:c>
      <x:c r="M19" s="282"/>
      <x:c r="O19" s="281" t="s">
        <x:v>78</x:v>
      </x:c>
      <x:c r="P19" s="282"/>
      <x:c r="R19" s="281" t="s">
        <x:v>79</x:v>
      </x:c>
      <x:c r="S19" s="282"/>
      <x:c r="T19" s="8"/>
      <x:c r="W19" s="281" t="s">
        <x:v>80</x:v>
      </x:c>
      <x:c r="X19" s="296"/>
      <x:c r="Y19" s="282"/>
      <x:c r="Z19" s="8"/>
      <x:c r="AA19" s="8"/>
      <x:c r="AB19" s="8"/>
      <x:c r="AC19" s="281" t="s">
        <x:v>81</x:v>
      </x:c>
      <x:c r="AD19" s="282"/>
      <x:c r="AG19" s="53" t="s">
        <x:v>82</x:v>
      </x:c>
    </x:row>
    <x:row r="20" ht="21.75">
      <x:c r="B20" s="50" t="s">
        <x:v>83</x:v>
      </x:c>
      <x:c r="C20" s="306">
        <x:v>0</x:v>
      </x:c>
      <x:c r="D20" s="307"/>
      <x:c r="F20" s="318">
        <x:v>0</x:v>
      </x:c>
      <x:c r="G20" s="319"/>
      <x:c r="H20" s="1"/>
      <x:c r="I20" s="318">
        <x:v>0</x:v>
      </x:c>
      <x:c r="J20" s="319"/>
      <x:c r="L20" s="318">
        <x:v>0</x:v>
      </x:c>
      <x:c r="M20" s="319"/>
      <x:c r="O20" s="318">
        <x:v>0</x:v>
      </x:c>
      <x:c r="P20" s="319"/>
      <x:c r="R20" s="318">
        <x:v>0</x:v>
      </x:c>
      <x:c r="S20" s="319"/>
      <x:c r="T20" s="320"/>
      <x:c r="U20" s="321"/>
      <x:c r="V20" s="322"/>
      <x:c r="W20" s="306">
        <x:v>0</x:v>
      </x:c>
      <x:c r="X20" s="323"/>
      <x:c r="Y20" s="307"/>
      <x:c r="Z20" s="1"/>
      <x:c r="AA20" s="1"/>
      <x:c r="AB20" s="130"/>
      <x:c r="AC20" s="306">
        <x:v>0</x:v>
      </x:c>
      <x:c r="AD20" s="307"/>
      <x:c r="AG20" s="54" t="n">
        <x:f>SUM(C20:AD20)</x:f>
        <x:v>0</x:v>
      </x:c>
    </x:row>
    <x:row r="21" ht="21.75">
      <x:c r="C21" s="1"/>
      <x:c r="D21" s="1"/>
      <x:c r="F21" s="1"/>
      <x:c r="G21" s="1"/>
      <x:c r="H21" s="1"/>
      <x:c r="I21" s="1"/>
      <x:c r="J21" s="1"/>
      <x:c r="L21" s="1"/>
      <x:c r="M21" s="1"/>
      <x:c r="O21" s="1"/>
      <x:c r="P21" s="1"/>
      <x:c r="R21" s="1"/>
      <x:c r="S21" s="1"/>
      <x:c r="T21" s="1"/>
      <x:c r="W21" s="1"/>
      <x:c r="X21" s="1"/>
      <x:c r="Y21" s="1"/>
      <x:c r="Z21" s="1"/>
      <x:c r="AA21" s="1"/>
      <x:c r="AB21" s="1"/>
      <x:c r="AC21" s="1"/>
      <x:c r="AD21" s="1"/>
    </x:row>
    <x:row r="22" ht="21.75">
      <x:c r="B22" s="50" t="s">
        <x:v>84</x:v>
      </x:c>
      <x:c r="C22" s="308" t="n">
        <x:f>P33+P31+P29</x:f>
        <x:v>0</x:v>
      </x:c>
      <x:c r="D22" s="309"/>
      <x:c r="F22" s="310" t="n">
        <x:f>P35+P37+P39+P43+P41</x:f>
        <x:v>0</x:v>
      </x:c>
      <x:c r="G22" s="311"/>
      <x:c r="H22" s="1"/>
      <x:c r="I22" s="312" t="n">
        <x:f>P45+P47+P49+P51+P53</x:f>
        <x:v>0</x:v>
      </x:c>
      <x:c r="J22" s="313"/>
      <x:c r="L22" s="314" t="n">
        <x:f>P55+P57++P59</x:f>
        <x:v>0</x:v>
      </x:c>
      <x:c r="M22" s="315"/>
      <x:c r="O22" s="316" t="n">
        <x:f>P61</x:f>
        <x:v>0</x:v>
      </x:c>
      <x:c r="P22" s="317"/>
      <x:c r="R22" s="316" t="n">
        <x:f>P63</x:f>
        <x:v>0</x:v>
      </x:c>
      <x:c r="S22" s="317"/>
      <x:c r="T22" s="1"/>
      <x:c r="W22" s="293" t="n">
        <x:f>P65</x:f>
        <x:v>0</x:v>
      </x:c>
      <x:c r="X22" s="294"/>
      <x:c r="Y22" s="295"/>
      <x:c r="Z22" s="1"/>
      <x:c r="AA22" s="1"/>
      <x:c r="AB22" s="1"/>
      <x:c r="AC22" s="277" t="n">
        <x:f>P69</x:f>
        <x:v>0</x:v>
      </x:c>
      <x:c r="AD22" s="278"/>
    </x:row>
    <x:row r="23" ht="12" customHeight="1">
      <x:c r="C23" s="1"/>
      <x:c r="D23" s="1"/>
      <x:c r="F23" s="1"/>
      <x:c r="G23" s="1"/>
      <x:c r="H23" s="1"/>
      <x:c r="I23" s="1"/>
      <x:c r="J23" s="1"/>
      <x:c r="L23" s="1"/>
      <x:c r="M23" s="1"/>
      <x:c r="O23" s="1"/>
      <x:c r="P23" s="1"/>
      <x:c r="R23" s="1"/>
      <x:c r="S23" s="1"/>
      <x:c r="T23" s="1"/>
      <x:c r="W23" s="1"/>
      <x:c r="X23" s="1"/>
      <x:c r="Y23" s="1"/>
      <x:c r="Z23" s="1"/>
      <x:c r="AA23" s="1"/>
      <x:c r="AB23" s="1"/>
      <x:c r="AC23" s="1"/>
      <x:c r="AD23" s="1"/>
    </x:row>
    <x:row r="24" ht="12" customHeight="1">
      <x:c r="C24" s="1"/>
      <x:c r="D24" s="1"/>
      <x:c r="F24" s="1"/>
      <x:c r="G24" s="1"/>
      <x:c r="H24" s="1"/>
      <x:c r="I24" s="1"/>
      <x:c r="J24" s="1"/>
      <x:c r="L24" s="1"/>
      <x:c r="M24" s="1"/>
      <x:c r="O24" s="1"/>
      <x:c r="P24" s="1"/>
      <x:c r="R24" s="1"/>
      <x:c r="S24" s="1"/>
      <x:c r="T24" s="1"/>
    </x:row>
    <x:row r="25" ht="12" customHeight="1">
      <x:c r="C25" s="1"/>
      <x:c r="D25" s="1"/>
      <x:c r="F25" s="1"/>
      <x:c r="G25" s="1"/>
      <x:c r="H25" s="1"/>
      <x:c r="I25" s="1"/>
      <x:c r="J25" s="1"/>
      <x:c r="L25" s="1"/>
      <x:c r="M25" s="1"/>
      <x:c r="O25" s="1"/>
      <x:c r="P25" s="1"/>
      <x:c r="R25" s="1"/>
      <x:c r="S25" s="1"/>
      <x:c r="T25" s="1"/>
    </x:row>
    <x:row r="26" ht="12" customHeight="1">
      <x:c r="C26" s="37"/>
      <x:c r="D26" s="37"/>
      <x:c r="E26" s="3"/>
      <x:c r="F26" s="37"/>
      <x:c r="G26" s="1"/>
      <x:c r="H26" s="1"/>
      <x:c r="I26" s="37"/>
      <x:c r="J26" s="37"/>
      <x:c r="K26" s="24"/>
      <x:c r="L26" s="1"/>
      <x:c r="N26" s="24"/>
      <x:c r="O26" s="37"/>
      <x:c r="P26" s="1"/>
      <x:c r="R26" s="1"/>
      <x:c r="S26" s="1"/>
      <x:c r="T26" s="1"/>
    </x:row>
    <x:row r="27" s="2" customFormat="1" ht="17.450000762939453" customHeight="1">
      <x:c r="B27" s="297" t="s">
        <x:v>85</x:v>
      </x:c>
      <x:c r="C27" s="298"/>
      <x:c r="D27" s="298"/>
      <x:c r="E27" s="298"/>
      <x:c r="F27" s="299"/>
      <x:c r="G27" s="58" t="s">
        <x:v>86</x:v>
      </x:c>
      <x:c r="H27" s="300" t="s">
        <x:v>87</x:v>
      </x:c>
      <x:c r="I27" s="301"/>
      <x:c r="J27" s="301"/>
      <x:c r="K27" s="302"/>
      <x:c r="L27" s="300" t="s">
        <x:v>88</x:v>
      </x:c>
      <x:c r="M27" s="302"/>
      <x:c r="N27" s="303" t="s">
        <x:v>89</x:v>
      </x:c>
      <x:c r="O27" s="304"/>
      <x:c r="P27" s="164" t="s">
        <x:v>90</x:v>
      </x:c>
      <x:c r="Q27" s="165" t="s">
        <x:v>91</x:v>
      </x:c>
      <x:c r="R27" s="166" t="s">
        <x:v>92</x:v>
      </x:c>
      <x:c r="S27" s="166" t="s">
        <x:v>93</x:v>
      </x:c>
      <x:c r="T27" s="167"/>
      <x:c r="U27" s="300" t="s">
        <x:v>94</x:v>
      </x:c>
      <x:c r="V27" s="301"/>
      <x:c r="W27" s="305"/>
      <x:c r="X27" s="168"/>
      <x:c r="Y27" s="300" t="s">
        <x:v>95</x:v>
      </x:c>
      <x:c r="Z27" s="301"/>
      <x:c r="AA27" s="305"/>
      <x:c r="AB27" s="169"/>
      <x:c r="AC27" s="170" t="s">
        <x:v>96</x:v>
      </x:c>
      <x:c r="AD27" s="56"/>
      <x:c r="AE27" s="170" t="s">
        <x:v>97</x:v>
      </x:c>
      <x:c r="AF27" s="56"/>
      <x:c r="AG27" s="170" t="s">
        <x:v>98</x:v>
      </x:c>
      <x:c r="AH27" s="56"/>
      <x:c r="AI27" s="170" t="s">
        <x:v>99</x:v>
      </x:c>
      <x:c r="AJ27" s="56"/>
      <x:c r="AK27" s="58" t="s">
        <x:v>100</x:v>
      </x:c>
    </x:row>
    <x:row r="28" ht="17.100000381469727" customHeight="1">
      <x:c r="B28" s="34"/>
      <x:c r="C28" s="34"/>
      <x:c r="D28" s="34"/>
      <x:c r="E28" s="34"/>
      <x:c r="F28" s="34"/>
      <x:c r="G28" s="34"/>
      <x:c r="H28" s="34"/>
      <x:c r="I28" s="34"/>
      <x:c r="J28" s="34"/>
      <x:c r="K28" s="34"/>
      <x:c r="L28" s="34"/>
      <x:c r="M28" s="34"/>
      <x:c r="N28" s="34"/>
      <x:c r="O28" s="34"/>
      <x:c r="P28" s="101"/>
      <x:c r="Q28" s="45"/>
      <x:c r="R28" s="35"/>
      <x:c r="S28" s="35"/>
      <x:c r="T28" s="32"/>
      <x:c r="U28" s="33"/>
      <x:c r="V28" s="34"/>
      <x:c r="W28" s="36"/>
      <x:c r="Y28" s="8"/>
      <x:c r="Z28" s="8"/>
      <x:c r="AA28" s="3"/>
      <x:c r="AB28" s="3"/>
      <x:c r="AC28" s="5"/>
      <x:c r="AD28" s="5"/>
      <x:c r="AE28" s="5"/>
      <x:c r="AF28" s="5"/>
      <x:c r="AG28" s="5"/>
      <x:c r="AH28" s="5"/>
      <x:c r="AI28" s="5"/>
      <x:c r="AJ28" s="5"/>
      <x:c r="AK28" s="8"/>
    </x:row>
    <x:row r="29" ht="16.5">
      <x:c r="B29" s="11" t="s">
        <x:v>101</x:v>
      </x:c>
      <x:c r="C29" s="351" t="s">
        <x:v>102</x:v>
      </x:c>
      <x:c r="D29" s="352"/>
      <x:c r="E29" s="352"/>
      <x:c r="F29" s="353"/>
      <x:c r="G29" s="18" t="s">
        <x:v>103</x:v>
      </x:c>
      <x:c r="H29" s="337" t="s">
        <x:v>104</x:v>
      </x:c>
      <x:c r="I29" s="337"/>
      <x:c r="J29" s="337"/>
      <x:c r="K29" s="337"/>
      <x:c r="L29" s="338" t="n">
        <x:f>C20/3</x:f>
        <x:v>0</x:v>
      </x:c>
      <x:c r="M29" s="339"/>
      <x:c r="N29" s="340" t="n">
        <x:f>(C20+F20)-N31-N33-N35-N37-N39-N41-N43</x:f>
        <x:v>0</x:v>
      </x:c>
      <x:c r="O29" s="472"/>
      <x:c r="P29" s="133" t="n">
        <x:f>Wachstumsstrategie!P29</x:f>
        <x:v>0</x:v>
      </x:c>
      <x:c r="Q29" s="134" t="n">
        <x:f>Wachstumsstrategie!Q29</x:f>
        <x:v>0</x:v>
      </x:c>
      <x:c r="R29" s="135" t="n">
        <x:f>IF(N29&gt;=P29,0,IF(P29&gt;N29,P29-N29,""))</x:f>
        <x:v>0</x:v>
      </x:c>
      <x:c r="S29" s="136" t="n">
        <x:f>IF(N29=0,0,N29-P29+R29)</x:f>
        <x:v>0</x:v>
      </x:c>
      <x:c r="T29" s="156"/>
      <x:c r="U29" s="341" t="n">
        <x:f>P29+S29-R29</x:f>
        <x:v>0</x:v>
      </x:c>
      <x:c r="V29" s="342"/>
      <x:c r="W29" s="343"/>
      <x:c r="X29" s="2"/>
      <x:c r="Y29" s="334"/>
      <x:c r="Z29" s="335"/>
      <x:c r="AA29" s="336"/>
      <x:c r="AB29" s="131"/>
      <x:c r="AC29" s="171" t="n">
        <x:f>'Dividendenermittlung Neuanlage'!Z32</x:f>
        <x:v>0</x:v>
      </x:c>
      <x:c r="AD29" s="172"/>
      <x:c r="AE29" s="172"/>
      <x:c r="AF29" s="172"/>
      <x:c r="AG29" s="171" t="n">
        <x:f>'Dividendenermittlung im Bestand'!AB36</x:f>
        <x:v>0</x:v>
      </x:c>
      <x:c r="AH29" s="172"/>
      <x:c r="AI29" s="172"/>
      <x:c r="AJ29" s="172"/>
      <x:c r="AK29" s="2"/>
    </x:row>
    <x:row r="30" ht="9.949999809265137" customHeight="1">
      <x:c r="B30" s="6"/>
      <x:c r="H30" s="20"/>
      <x:c r="I30" s="20"/>
      <x:c r="J30" s="20"/>
      <x:c r="K30" s="20"/>
      <x:c r="L30" s="137"/>
      <x:c r="M30" s="2"/>
      <x:c r="N30" s="138"/>
      <x:c r="O30" s="138"/>
      <x:c r="P30" s="139"/>
      <x:c r="Q30" s="140"/>
      <x:c r="R30" s="139"/>
      <x:c r="S30" s="141"/>
      <x:c r="T30" s="156"/>
      <x:c r="U30" s="173"/>
      <x:c r="V30" s="137"/>
      <x:c r="W30" s="174"/>
      <x:c r="X30" s="2"/>
      <x:c r="Y30" s="137"/>
      <x:c r="Z30" s="137"/>
      <x:c r="AA30" s="2"/>
      <x:c r="AB30" s="2"/>
      <x:c r="AC30" s="171"/>
      <x:c r="AD30" s="172"/>
      <x:c r="AE30" s="172"/>
      <x:c r="AF30" s="172"/>
      <x:c r="AG30" s="171"/>
      <x:c r="AH30" s="172"/>
      <x:c r="AI30" s="172"/>
      <x:c r="AJ30" s="172"/>
      <x:c r="AK30" s="2"/>
    </x:row>
    <x:row r="31" ht="16.5">
      <x:c r="B31" s="12" t="s">
        <x:v>105</x:v>
      </x:c>
      <x:c r="C31" s="354" t="s">
        <x:v>106</x:v>
      </x:c>
      <x:c r="D31" s="355"/>
      <x:c r="E31" s="355"/>
      <x:c r="F31" s="356"/>
      <x:c r="G31" s="4" t="s">
        <x:v>107</x:v>
      </x:c>
      <x:c r="H31" s="327" t="s">
        <x:v>108</x:v>
      </x:c>
      <x:c r="I31" s="327"/>
      <x:c r="J31" s="327"/>
      <x:c r="K31" s="327"/>
      <x:c r="L31" s="328" t="n">
        <x:f>C20/3</x:f>
        <x:v>0</x:v>
      </x:c>
      <x:c r="M31" s="329"/>
      <x:c r="N31" s="330">
        <x:v>0</x:v>
      </x:c>
      <x:c r="O31" s="358"/>
      <x:c r="P31" s="143" t="n">
        <x:f>Wachstumsstrategie!P31</x:f>
        <x:v>0</x:v>
      </x:c>
      <x:c r="Q31" s="144" t="n">
        <x:f>Wachstumsstrategie!Q31</x:f>
        <x:v>0</x:v>
      </x:c>
      <x:c r="R31" s="145" t="n">
        <x:f>IF(N31&gt;=P31,0,IF(P31&gt;N31,P31-N31,""))</x:f>
        <x:v>0</x:v>
      </x:c>
      <x:c r="S31" s="146" t="n">
        <x:f t="shared" ref="S31:S35" si="0">IF(N31=0,0,N31-P31+R31)</x:f>
        <x:v>0</x:v>
      </x:c>
      <x:c r="T31" s="156"/>
      <x:c r="U31" s="331" t="n">
        <x:f>P31-R31+S31</x:f>
        <x:v>0</x:v>
      </x:c>
      <x:c r="V31" s="332"/>
      <x:c r="W31" s="333"/>
      <x:c r="X31" s="2"/>
      <x:c r="Y31" s="334"/>
      <x:c r="Z31" s="335"/>
      <x:c r="AA31" s="336"/>
      <x:c r="AB31" s="131"/>
      <x:c r="AC31" s="171" t="n">
        <x:f>'Dividendenermittlung Neuanlage'!Z34</x:f>
        <x:v>0</x:v>
      </x:c>
      <x:c r="AD31" s="172"/>
      <x:c r="AE31" s="172"/>
      <x:c r="AF31" s="172"/>
      <x:c r="AG31" s="171" t="n">
        <x:f>'Dividendenermittlung im Bestand'!AB38</x:f>
        <x:v>0</x:v>
      </x:c>
      <x:c r="AH31" s="172"/>
      <x:c r="AI31" s="172"/>
      <x:c r="AJ31" s="172"/>
      <x:c r="AK31" s="2"/>
    </x:row>
    <x:row r="32" ht="9.949999809265137" customHeight="1">
      <x:c r="B32" s="6"/>
      <x:c r="G32" s="3"/>
      <x:c r="H32" s="20"/>
      <x:c r="I32" s="20"/>
      <x:c r="J32" s="20"/>
      <x:c r="K32" s="20"/>
      <x:c r="L32" s="137"/>
      <x:c r="M32" s="2"/>
      <x:c r="N32" s="138"/>
      <x:c r="O32" s="138"/>
      <x:c r="P32" s="139"/>
      <x:c r="Q32" s="140"/>
      <x:c r="R32" s="147"/>
      <x:c r="S32" s="141"/>
      <x:c r="T32" s="156"/>
      <x:c r="U32" s="173"/>
      <x:c r="V32" s="137"/>
      <x:c r="W32" s="174"/>
      <x:c r="X32" s="2"/>
      <x:c r="Y32" s="137"/>
      <x:c r="Z32" s="137"/>
      <x:c r="AA32" s="2"/>
      <x:c r="AB32" s="2"/>
      <x:c r="AC32" s="171"/>
      <x:c r="AD32" s="172"/>
      <x:c r="AE32" s="172"/>
      <x:c r="AF32" s="172"/>
      <x:c r="AG32" s="171"/>
      <x:c r="AH32" s="172"/>
      <x:c r="AI32" s="172"/>
      <x:c r="AJ32" s="172"/>
      <x:c r="AK32" s="2"/>
    </x:row>
    <x:row r="33" ht="16.5">
      <x:c r="B33" s="21" t="s">
        <x:v>109</x:v>
      </x:c>
      <x:c r="C33" s="324" t="s">
        <x:v>110</x:v>
      </x:c>
      <x:c r="D33" s="325"/>
      <x:c r="E33" s="325"/>
      <x:c r="F33" s="326"/>
      <x:c r="G33" s="7">
        <x:v>984811</x:v>
      </x:c>
      <x:c r="H33" s="344" t="s">
        <x:v>108</x:v>
      </x:c>
      <x:c r="I33" s="344"/>
      <x:c r="J33" s="344"/>
      <x:c r="K33" s="344"/>
      <x:c r="L33" s="345" t="n">
        <x:f>C20/3</x:f>
        <x:v>0</x:v>
      </x:c>
      <x:c r="M33" s="346"/>
      <x:c r="N33" s="347">
        <x:v>0</x:v>
      </x:c>
      <x:c r="O33" s="375"/>
      <x:c r="P33" s="149" t="n">
        <x:f>Wachstumsstrategie!P33</x:f>
        <x:v>0</x:v>
      </x:c>
      <x:c r="Q33" s="150" t="n">
        <x:f>Wachstumsstrategie!Q33</x:f>
        <x:v>0</x:v>
      </x:c>
      <x:c r="R33" s="151" t="n">
        <x:f>IF(N33&gt;=P33,0,IF(P33&gt;N33,P33-N33,""))</x:f>
        <x:v>0</x:v>
      </x:c>
      <x:c r="S33" s="152">
        <x:f t="shared" si="0"/>
        <x:v>0</x:v>
      </x:c>
      <x:c r="T33" s="156"/>
      <x:c r="U33" s="348" t="n">
        <x:f>P33-R33+S33</x:f>
        <x:v>0</x:v>
      </x:c>
      <x:c r="V33" s="349"/>
      <x:c r="W33" s="350"/>
      <x:c r="X33" s="2"/>
      <x:c r="Y33" s="334"/>
      <x:c r="Z33" s="335"/>
      <x:c r="AA33" s="336"/>
      <x:c r="AB33" s="131"/>
      <x:c r="AC33" s="171" t="n">
        <x:f>'Dividendenermittlung Neuanlage'!Z36</x:f>
        <x:v>0</x:v>
      </x:c>
      <x:c r="AD33" s="172"/>
      <x:c r="AE33" s="172"/>
      <x:c r="AF33" s="172"/>
      <x:c r="AG33" s="171" t="n">
        <x:f>'Dividendenermittlung im Bestand'!AB40</x:f>
        <x:v>0</x:v>
      </x:c>
      <x:c r="AH33" s="172"/>
      <x:c r="AI33" s="172"/>
      <x:c r="AJ33" s="172"/>
      <x:c r="AK33" s="175" t="n">
        <x:f>AC75+AG75</x:f>
        <x:v>0</x:v>
      </x:c>
      <x:c r="AL33" s="5"/>
    </x:row>
    <x:row r="34" ht="12" customHeight="1">
      <x:c r="B34" s="3"/>
      <x:c r="C34" s="113"/>
      <x:c r="D34" s="113"/>
      <x:c r="E34" s="113"/>
      <x:c r="F34" s="113"/>
      <x:c r="G34" s="3"/>
      <x:c r="H34" s="20"/>
      <x:c r="I34" s="20"/>
      <x:c r="J34" s="20"/>
      <x:c r="K34" s="20"/>
      <x:c r="L34" s="137"/>
      <x:c r="M34" s="2"/>
      <x:c r="N34" s="138"/>
      <x:c r="O34" s="138"/>
      <x:c r="P34" s="153"/>
      <x:c r="Q34" s="154"/>
      <x:c r="R34" s="139"/>
      <x:c r="S34" s="139"/>
      <x:c r="T34" s="156"/>
      <x:c r="U34" s="137"/>
      <x:c r="V34" s="137"/>
      <x:c r="W34" s="2"/>
      <x:c r="X34" s="2"/>
      <x:c r="Y34" s="137"/>
      <x:c r="Z34" s="137"/>
      <x:c r="AA34" s="2"/>
      <x:c r="AB34" s="2"/>
      <x:c r="AC34" s="172"/>
      <x:c r="AD34" s="172"/>
      <x:c r="AE34" s="172"/>
      <x:c r="AF34" s="172"/>
      <x:c r="AG34" s="172"/>
      <x:c r="AH34" s="172"/>
      <x:c r="AI34" s="172"/>
      <x:c r="AJ34" s="172"/>
      <x:c r="AK34" s="2"/>
    </x:row>
    <x:row r="35" ht="16.5" customHeight="1">
      <x:c r="B35" s="29" t="s">
        <x:v>111</x:v>
      </x:c>
      <x:c r="C35" s="455" t="s">
        <x:v>112</x:v>
      </x:c>
      <x:c r="D35" s="456"/>
      <x:c r="E35" s="456"/>
      <x:c r="F35" s="457"/>
      <x:c r="G35" s="18" t="s">
        <x:v>113</x:v>
      </x:c>
      <x:c r="H35" s="337" t="s">
        <x:v>114</x:v>
      </x:c>
      <x:c r="I35" s="337"/>
      <x:c r="J35" s="337"/>
      <x:c r="K35" s="337"/>
      <x:c r="L35" s="338" t="n">
        <x:f>F20/5</x:f>
        <x:v>0</x:v>
      </x:c>
      <x:c r="M35" s="339"/>
      <x:c r="N35" s="363">
        <x:v>0</x:v>
      </x:c>
      <x:c r="O35" s="364"/>
      <x:c r="P35" s="133" t="n">
        <x:f>Wachstumsstrategie!P35</x:f>
        <x:v>0</x:v>
      </x:c>
      <x:c r="Q35" s="134" t="n">
        <x:f>Wachstumsstrategie!Q35</x:f>
        <x:v>0</x:v>
      </x:c>
      <x:c r="R35" s="135" t="n">
        <x:f>IF(N35&gt;=P35,0,IF(P35&gt;N35,P35-N35,""))</x:f>
        <x:v>0</x:v>
      </x:c>
      <x:c r="S35" s="136">
        <x:f t="shared" si="0"/>
        <x:v>0</x:v>
      </x:c>
      <x:c r="T35" s="156"/>
      <x:c r="U35" s="365" t="n">
        <x:f>P35-R35+S35</x:f>
        <x:v>0</x:v>
      </x:c>
      <x:c r="V35" s="366"/>
      <x:c r="W35" s="367"/>
      <x:c r="X35" s="2"/>
      <x:c r="Y35" s="362"/>
      <x:c r="Z35" s="362"/>
      <x:c r="AA35" s="368"/>
      <x:c r="AB35" s="131"/>
      <x:c r="AC35" s="172"/>
      <x:c r="AD35" s="172"/>
      <x:c r="AE35" s="171" t="n">
        <x:f>'Dividendenermittlung Neuanlage'!AA38</x:f>
        <x:v>0</x:v>
      </x:c>
      <x:c r="AF35" s="172"/>
      <x:c r="AG35" s="172"/>
      <x:c r="AH35" s="172"/>
      <x:c r="AI35" s="171" t="n">
        <x:f>'Dividendenermittlung im Bestand'!AC42</x:f>
        <x:v>0</x:v>
      </x:c>
      <x:c r="AJ35" s="172"/>
      <x:c r="AK35" s="2"/>
    </x:row>
    <x:row r="36" ht="9.949999809265137" customHeight="1">
      <x:c r="B36" s="6"/>
      <x:c r="G36" s="3"/>
      <x:c r="H36" s="20"/>
      <x:c r="I36" s="20"/>
      <x:c r="J36" s="20"/>
      <x:c r="K36" s="20"/>
      <x:c r="L36" s="137"/>
      <x:c r="M36" s="2"/>
      <x:c r="N36" s="138"/>
      <x:c r="O36" s="138"/>
      <x:c r="P36" s="139"/>
      <x:c r="Q36" s="140"/>
      <x:c r="R36" s="139"/>
      <x:c r="S36" s="141"/>
      <x:c r="T36" s="156"/>
      <x:c r="U36" s="173"/>
      <x:c r="V36" s="137"/>
      <x:c r="W36" s="174"/>
      <x:c r="X36" s="2"/>
      <x:c r="Y36" s="137"/>
      <x:c r="Z36" s="137"/>
      <x:c r="AA36" s="2"/>
      <x:c r="AB36" s="2"/>
      <x:c r="AC36" s="172"/>
      <x:c r="AD36" s="172"/>
      <x:c r="AE36" s="171"/>
      <x:c r="AF36" s="172"/>
      <x:c r="AG36" s="172"/>
      <x:c r="AH36" s="172"/>
      <x:c r="AI36" s="171"/>
      <x:c r="AJ36" s="172"/>
      <x:c r="AK36" s="2"/>
    </x:row>
    <x:row r="37" ht="16.5" customHeight="1">
      <x:c r="B37" s="30" t="s">
        <x:v>115</x:v>
      </x:c>
      <x:c r="C37" s="458" t="s">
        <x:v>116</x:v>
      </x:c>
      <x:c r="D37" s="459"/>
      <x:c r="E37" s="459"/>
      <x:c r="F37" s="460"/>
      <x:c r="G37" s="4" t="s">
        <x:v>117</x:v>
      </x:c>
      <x:c r="H37" s="327" t="s">
        <x:v>118</x:v>
      </x:c>
      <x:c r="I37" s="327"/>
      <x:c r="J37" s="327"/>
      <x:c r="K37" s="327"/>
      <x:c r="L37" s="328" t="n">
        <x:f>F20/5</x:f>
        <x:v>0</x:v>
      </x:c>
      <x:c r="M37" s="357"/>
      <x:c r="N37" s="330">
        <x:v>0</x:v>
      </x:c>
      <x:c r="O37" s="358"/>
      <x:c r="P37" s="143" t="n">
        <x:f>Wachstumsstrategie!P37</x:f>
        <x:v>0</x:v>
      </x:c>
      <x:c r="Q37" s="144" t="n">
        <x:f>Wachstumsstrategie!Q37</x:f>
        <x:v>0</x:v>
      </x:c>
      <x:c r="R37" s="145" t="n">
        <x:f>IF(N37&gt;=P37,0,IF(P37&gt;N37,P37-N37,""))</x:f>
        <x:v>0</x:v>
      </x:c>
      <x:c r="S37" s="155" t="n">
        <x:f t="shared" ref="S37:S69" si="1">IF(N37=0,0,N37-P37+R37)</x:f>
        <x:v>0</x:v>
      </x:c>
      <x:c r="T37" s="156"/>
      <x:c r="U37" s="359" t="n">
        <x:f>P37-R37+S37</x:f>
        <x:v>0</x:v>
      </x:c>
      <x:c r="V37" s="360"/>
      <x:c r="W37" s="361"/>
      <x:c r="X37" s="2"/>
      <x:c r="Y37" s="362"/>
      <x:c r="Z37" s="362"/>
      <x:c r="AA37" s="368"/>
      <x:c r="AB37" s="131"/>
      <x:c r="AC37" s="172"/>
      <x:c r="AD37" s="172"/>
      <x:c r="AE37" s="171" t="n">
        <x:f>'Dividendenermittlung Neuanlage'!AA40</x:f>
        <x:v>0</x:v>
      </x:c>
      <x:c r="AF37" s="172"/>
      <x:c r="AG37" s="172"/>
      <x:c r="AH37" s="172"/>
      <x:c r="AI37" s="171" t="n">
        <x:f>'Dividendenermittlung im Bestand'!AC44</x:f>
        <x:v>0</x:v>
      </x:c>
      <x:c r="AJ37" s="172"/>
      <x:c r="AK37" s="2"/>
    </x:row>
    <x:row r="38" ht="9.949999809265137" customHeight="1">
      <x:c r="B38" s="6"/>
      <x:c r="G38" s="3"/>
      <x:c r="H38" s="20"/>
      <x:c r="I38" s="20"/>
      <x:c r="J38" s="20"/>
      <x:c r="K38" s="20"/>
      <x:c r="L38" s="137"/>
      <x:c r="M38" s="2"/>
      <x:c r="N38" s="138"/>
      <x:c r="O38" s="138"/>
      <x:c r="P38" s="139"/>
      <x:c r="Q38" s="140"/>
      <x:c r="R38" s="139"/>
      <x:c r="S38" s="141"/>
      <x:c r="T38" s="156"/>
      <x:c r="U38" s="173"/>
      <x:c r="V38" s="137"/>
      <x:c r="W38" s="174"/>
      <x:c r="X38" s="2"/>
      <x:c r="Y38" s="362"/>
      <x:c r="Z38" s="362"/>
      <x:c r="AA38" s="368"/>
      <x:c r="AB38" s="2"/>
      <x:c r="AC38" s="172"/>
      <x:c r="AD38" s="172"/>
      <x:c r="AE38" s="171"/>
      <x:c r="AF38" s="172"/>
      <x:c r="AG38" s="172"/>
      <x:c r="AH38" s="172"/>
      <x:c r="AI38" s="171"/>
      <x:c r="AJ38" s="172"/>
      <x:c r="AK38" s="2"/>
    </x:row>
    <x:row r="39" ht="16.5" customHeight="1">
      <x:c r="B39" s="30" t="s">
        <x:v>119</x:v>
      </x:c>
      <x:c r="C39" s="461" t="s">
        <x:v>120</x:v>
      </x:c>
      <x:c r="D39" s="461"/>
      <x:c r="E39" s="461"/>
      <x:c r="F39" s="461"/>
      <x:c r="G39" s="19" t="s">
        <x:v>121</x:v>
      </x:c>
      <x:c r="H39" s="327" t="s">
        <x:v>122</x:v>
      </x:c>
      <x:c r="I39" s="327"/>
      <x:c r="J39" s="327"/>
      <x:c r="K39" s="327"/>
      <x:c r="L39" s="328" t="n">
        <x:f>F20/5</x:f>
        <x:v>0</x:v>
      </x:c>
      <x:c r="M39" s="357"/>
      <x:c r="N39" s="330">
        <x:v>0</x:v>
      </x:c>
      <x:c r="O39" s="358"/>
      <x:c r="P39" s="143" t="n">
        <x:f>Wachstumsstrategie!P39</x:f>
        <x:v>0</x:v>
      </x:c>
      <x:c r="Q39" s="144" t="n">
        <x:f>Wachstumsstrategie!Q39</x:f>
        <x:v>0</x:v>
      </x:c>
      <x:c r="R39" s="145" t="n">
        <x:f>IF(N39&gt;=P39,0,IF(P39&gt;N39,P39-N39,""))</x:f>
        <x:v>0</x:v>
      </x:c>
      <x:c r="S39" s="155">
        <x:f t="shared" si="1"/>
        <x:v>0</x:v>
      </x:c>
      <x:c r="T39" s="156"/>
      <x:c r="U39" s="359" t="n">
        <x:f>P39-R39+S39</x:f>
        <x:v>0</x:v>
      </x:c>
      <x:c r="V39" s="360"/>
      <x:c r="W39" s="361"/>
      <x:c r="X39" s="2"/>
      <x:c r="Y39" s="137"/>
      <x:c r="Z39" s="137"/>
      <x:c r="AA39" s="2"/>
      <x:c r="AB39" s="131"/>
      <x:c r="AC39" s="172"/>
      <x:c r="AD39" s="172"/>
      <x:c r="AE39" s="171" t="n">
        <x:f>'Dividendenermittlung Neuanlage'!AA42</x:f>
        <x:v>0</x:v>
      </x:c>
      <x:c r="AF39" s="172"/>
      <x:c r="AG39" s="172"/>
      <x:c r="AH39" s="172"/>
      <x:c r="AI39" s="171" t="n">
        <x:f>'Dividendenermittlung im Bestand'!AC46</x:f>
        <x:v>0</x:v>
      </x:c>
      <x:c r="AJ39" s="172"/>
      <x:c r="AK39" s="2"/>
    </x:row>
    <x:row r="40" ht="9.949999809265137" customHeight="1">
      <x:c r="B40" s="6"/>
      <x:c r="G40" s="3"/>
      <x:c r="H40" s="20"/>
      <x:c r="I40" s="20"/>
      <x:c r="J40" s="20"/>
      <x:c r="K40" s="20"/>
      <x:c r="L40" s="137"/>
      <x:c r="M40" s="2"/>
      <x:c r="N40" s="138"/>
      <x:c r="O40" s="138"/>
      <x:c r="P40" s="139"/>
      <x:c r="Q40" s="140"/>
      <x:c r="R40" s="139"/>
      <x:c r="S40" s="141"/>
      <x:c r="T40" s="156"/>
      <x:c r="U40" s="173"/>
      <x:c r="V40" s="137"/>
      <x:c r="W40" s="174"/>
      <x:c r="X40" s="2"/>
      <x:c r="Y40" s="137"/>
      <x:c r="Z40" s="137"/>
      <x:c r="AA40" s="2"/>
      <x:c r="AB40" s="2"/>
      <x:c r="AC40" s="172"/>
      <x:c r="AD40" s="172"/>
      <x:c r="AE40" s="171"/>
      <x:c r="AF40" s="172"/>
      <x:c r="AG40" s="172"/>
      <x:c r="AH40" s="172"/>
      <x:c r="AI40" s="171"/>
      <x:c r="AJ40" s="172"/>
      <x:c r="AK40" s="2"/>
    </x:row>
    <x:row r="41" ht="16.5" customHeight="1">
      <x:c r="B41" s="30" t="s">
        <x:v>123</x:v>
      </x:c>
      <x:c r="C41" s="458" t="s">
        <x:v>124</x:v>
      </x:c>
      <x:c r="D41" s="459"/>
      <x:c r="E41" s="459"/>
      <x:c r="F41" s="460"/>
      <x:c r="G41" s="19" t="s">
        <x:v>125</x:v>
      </x:c>
      <x:c r="H41" s="327" t="s">
        <x:v>126</x:v>
      </x:c>
      <x:c r="I41" s="327"/>
      <x:c r="J41" s="327"/>
      <x:c r="K41" s="327"/>
      <x:c r="L41" s="328" t="n">
        <x:f>F20/5</x:f>
        <x:v>0</x:v>
      </x:c>
      <x:c r="M41" s="357"/>
      <x:c r="N41" s="330">
        <x:v>0</x:v>
      </x:c>
      <x:c r="O41" s="358"/>
      <x:c r="P41" s="143" t="n">
        <x:f>Wachstumsstrategie!P41</x:f>
        <x:v>0</x:v>
      </x:c>
      <x:c r="Q41" s="144" t="n">
        <x:f>Wachstumsstrategie!Q41</x:f>
        <x:v>0</x:v>
      </x:c>
      <x:c r="R41" s="145" t="n">
        <x:f>IF(N41&gt;=P41,0,IF(P41&gt;N41,P41-N41,""))</x:f>
        <x:v>0</x:v>
      </x:c>
      <x:c r="S41" s="155" t="n">
        <x:f t="shared" ref="S41" si="2">IF(N41=0,0,N41-P41+R41)</x:f>
        <x:v>0</x:v>
      </x:c>
      <x:c r="T41" s="156"/>
      <x:c r="U41" s="359" t="n">
        <x:f>P41-R41+S41</x:f>
        <x:v>0</x:v>
      </x:c>
      <x:c r="V41" s="360"/>
      <x:c r="W41" s="361"/>
      <x:c r="X41" s="2"/>
      <x:c r="Y41" s="362"/>
      <x:c r="Z41" s="362"/>
      <x:c r="AA41" s="368"/>
      <x:c r="AB41" s="131"/>
      <x:c r="AC41" s="172"/>
      <x:c r="AD41" s="172"/>
      <x:c r="AE41" s="171" t="n">
        <x:f>'Dividendenermittlung Neuanlage'!AA44</x:f>
        <x:v>0</x:v>
      </x:c>
      <x:c r="AF41" s="172"/>
      <x:c r="AG41" s="172"/>
      <x:c r="AH41" s="172"/>
      <x:c r="AI41" s="171" t="n">
        <x:f>'Dividendenermittlung im Bestand'!AC48</x:f>
        <x:v>0</x:v>
      </x:c>
      <x:c r="AJ41" s="172"/>
      <x:c r="AK41" s="2"/>
    </x:row>
    <x:row r="42" ht="9.949999809265137" customHeight="1">
      <x:c r="B42" s="6"/>
      <x:c r="G42" s="3"/>
      <x:c r="H42" s="20"/>
      <x:c r="I42" s="20"/>
      <x:c r="J42" s="20"/>
      <x:c r="K42" s="20"/>
      <x:c r="L42" s="137"/>
      <x:c r="M42" s="2"/>
      <x:c r="N42" s="138"/>
      <x:c r="O42" s="138"/>
      <x:c r="P42" s="139"/>
      <x:c r="Q42" s="140"/>
      <x:c r="R42" s="139"/>
      <x:c r="S42" s="141"/>
      <x:c r="T42" s="156"/>
      <x:c r="U42" s="173"/>
      <x:c r="V42" s="137"/>
      <x:c r="W42" s="174"/>
      <x:c r="X42" s="2"/>
      <x:c r="Y42" s="137"/>
      <x:c r="Z42" s="137"/>
      <x:c r="AA42" s="2"/>
      <x:c r="AB42" s="2"/>
      <x:c r="AC42" s="2"/>
      <x:c r="AD42" s="2"/>
      <x:c r="AE42" s="171"/>
      <x:c r="AF42" s="2"/>
      <x:c r="AG42" s="2"/>
      <x:c r="AH42" s="2"/>
      <x:c r="AI42" s="171"/>
      <x:c r="AJ42" s="2"/>
      <x:c r="AK42" s="2"/>
    </x:row>
    <x:row r="43" ht="16.5" customHeight="1">
      <x:c r="B43" s="31" t="s">
        <x:v>127</x:v>
      </x:c>
      <x:c r="C43" s="398" t="s">
        <x:v>128</x:v>
      </x:c>
      <x:c r="D43" s="399"/>
      <x:c r="E43" s="399"/>
      <x:c r="F43" s="400"/>
      <x:c r="G43" s="19" t="s">
        <x:v>129</x:v>
      </x:c>
      <x:c r="H43" s="344" t="s">
        <x:v>118</x:v>
      </x:c>
      <x:c r="I43" s="344"/>
      <x:c r="J43" s="344"/>
      <x:c r="K43" s="344"/>
      <x:c r="L43" s="345" t="n">
        <x:f>F20/5</x:f>
        <x:v>0</x:v>
      </x:c>
      <x:c r="M43" s="374"/>
      <x:c r="N43" s="347">
        <x:v>0</x:v>
      </x:c>
      <x:c r="O43" s="375"/>
      <x:c r="P43" s="149" t="n">
        <x:f>Wachstumsstrategie!P43</x:f>
        <x:v>0</x:v>
      </x:c>
      <x:c r="Q43" s="150" t="n">
        <x:f>Wachstumsstrategie!Q43</x:f>
        <x:v>0</x:v>
      </x:c>
      <x:c r="R43" s="151" t="n">
        <x:f>IF(N43&gt;=P43,0,IF(P43&gt;N43,P43-N43,""))</x:f>
        <x:v>0</x:v>
      </x:c>
      <x:c r="S43" s="152">
        <x:f t="shared" si="1"/>
        <x:v>0</x:v>
      </x:c>
      <x:c r="T43" s="156"/>
      <x:c r="U43" s="376" t="n">
        <x:f>P43-R43+S43</x:f>
        <x:v>0</x:v>
      </x:c>
      <x:c r="V43" s="377"/>
      <x:c r="W43" s="378"/>
      <x:c r="X43" s="2"/>
      <x:c r="Y43" s="362"/>
      <x:c r="Z43" s="362"/>
      <x:c r="AA43" s="362"/>
      <x:c r="AB43" s="131"/>
      <x:c r="AC43" s="2"/>
      <x:c r="AD43" s="2"/>
      <x:c r="AE43" s="171" t="n">
        <x:f>'Dividendenermittlung Neuanlage'!AA46</x:f>
        <x:v>0</x:v>
      </x:c>
      <x:c r="AF43" s="2"/>
      <x:c r="AG43" s="2"/>
      <x:c r="AH43" s="2"/>
      <x:c r="AI43" s="171" t="n">
        <x:f>'Dividendenermittlung im Bestand'!AC50</x:f>
        <x:v>0</x:v>
      </x:c>
      <x:c r="AJ43" s="2"/>
      <x:c r="AK43" s="175" t="n">
        <x:f>(AE35+AE37+AE39+AE41+AE43+AI35+AI37+AI39+AI41+AI43)*12</x:f>
        <x:v>0</x:v>
      </x:c>
    </x:row>
    <x:row r="44" ht="12" customHeight="1">
      <x:c r="B44" s="3"/>
      <x:c r="C44" s="113"/>
      <x:c r="D44" s="113"/>
      <x:c r="E44" s="113"/>
      <x:c r="F44" s="113"/>
      <x:c r="G44" s="3"/>
      <x:c r="H44" s="20"/>
      <x:c r="I44" s="20"/>
      <x:c r="J44" s="20"/>
      <x:c r="K44" s="20"/>
      <x:c r="L44" s="137"/>
      <x:c r="M44" s="2"/>
      <x:c r="N44" s="138"/>
      <x:c r="O44" s="138"/>
      <x:c r="P44" s="156"/>
      <x:c r="Q44" s="156"/>
      <x:c r="R44" s="139"/>
      <x:c r="S44" s="139"/>
      <x:c r="T44" s="156"/>
      <x:c r="U44" s="137"/>
      <x:c r="V44" s="137"/>
      <x:c r="W44" s="2"/>
      <x:c r="X44" s="2"/>
      <x:c r="Y44" s="137"/>
      <x:c r="Z44" s="137"/>
      <x:c r="AA44" s="2"/>
      <x:c r="AB44" s="2"/>
      <x:c r="AC44" s="2"/>
      <x:c r="AD44" s="2"/>
      <x:c r="AE44" s="2"/>
      <x:c r="AF44" s="2"/>
      <x:c r="AG44" s="2"/>
      <x:c r="AH44" s="2"/>
      <x:c r="AI44" s="172"/>
      <x:c r="AJ44" s="2"/>
      <x:c r="AK44" s="2"/>
    </x:row>
    <x:row r="45" ht="16.5" customHeight="1">
      <x:c r="B45" s="13" t="s">
        <x:v>130</x:v>
      </x:c>
      <x:c r="C45" s="440" t="s">
        <x:v>131</x:v>
      </x:c>
      <x:c r="D45" s="441"/>
      <x:c r="E45" s="441"/>
      <x:c r="F45" s="442"/>
      <x:c r="G45" s="18">
        <x:v>977856</x:v>
      </x:c>
      <x:c r="H45" s="337" t="s">
        <x:v>132</x:v>
      </x:c>
      <x:c r="I45" s="337"/>
      <x:c r="J45" s="337"/>
      <x:c r="K45" s="337"/>
      <x:c r="L45" s="338" t="n">
        <x:f>(I20*70/100)/3</x:f>
        <x:v>0</x:v>
      </x:c>
      <x:c r="M45" s="339"/>
      <x:c r="N45" s="340" t="n">
        <x:f>I20-N47-N49-N51-N53</x:f>
        <x:v>0</x:v>
      </x:c>
      <x:c r="O45" s="340"/>
      <x:c r="P45" s="468" t="n">
        <x:f>Wachstumsstrategie!P45</x:f>
        <x:v>0</x:v>
      </x:c>
      <x:c r="Q45" s="338"/>
      <x:c r="R45" s="157" t="n">
        <x:f>IF(N45&gt;=P45,0,IF(P45&gt;N45,P45-N45,""))</x:f>
        <x:v>0</x:v>
      </x:c>
      <x:c r="S45" s="136">
        <x:f t="shared" si="1"/>
        <x:v>0</x:v>
      </x:c>
      <x:c r="T45" s="156"/>
      <x:c r="U45" s="371" t="n">
        <x:f>P45-R45+S45</x:f>
        <x:v>0</x:v>
      </x:c>
      <x:c r="V45" s="372"/>
      <x:c r="W45" s="373"/>
      <x:c r="X45" s="2"/>
      <x:c r="Y45" s="334"/>
      <x:c r="Z45" s="335"/>
      <x:c r="AA45" s="336"/>
      <x:c r="AB45" s="131"/>
      <x:c r="AC45" s="2"/>
      <x:c r="AD45" s="131"/>
      <x:c r="AE45" s="2"/>
      <x:c r="AF45" s="131"/>
      <x:c r="AG45" s="2"/>
      <x:c r="AH45" s="131"/>
      <x:c r="AI45" s="2"/>
      <x:c r="AJ45" s="131"/>
      <x:c r="AK45" s="176"/>
    </x:row>
    <x:row r="46" ht="9.949999809265137" customHeight="1">
      <x:c r="B46" s="6"/>
      <x:c r="G46" s="3"/>
      <x:c r="H46" s="20"/>
      <x:c r="I46" s="20"/>
      <x:c r="J46" s="20"/>
      <x:c r="K46" s="20"/>
      <x:c r="L46" s="137"/>
      <x:c r="M46" s="2"/>
      <x:c r="N46" s="138"/>
      <x:c r="O46" s="138"/>
      <x:c r="P46" s="156"/>
      <x:c r="Q46" s="156"/>
      <x:c r="R46" s="139"/>
      <x:c r="S46" s="141"/>
      <x:c r="T46" s="156"/>
      <x:c r="U46" s="173"/>
      <x:c r="V46" s="137"/>
      <x:c r="W46" s="174"/>
      <x:c r="X46" s="2"/>
      <x:c r="Y46" s="137"/>
      <x:c r="Z46" s="137"/>
      <x:c r="AA46" s="2"/>
      <x:c r="AB46" s="2"/>
      <x:c r="AC46" s="2"/>
      <x:c r="AD46" s="2"/>
      <x:c r="AE46" s="2"/>
      <x:c r="AF46" s="2"/>
      <x:c r="AG46" s="2"/>
      <x:c r="AH46" s="2"/>
      <x:c r="AI46" s="2"/>
      <x:c r="AJ46" s="2"/>
      <x:c r="AK46" s="2"/>
    </x:row>
    <x:row r="47" ht="16.5">
      <x:c r="B47" s="14" t="s">
        <x:v>133</x:v>
      </x:c>
      <x:c r="C47" s="443" t="s">
        <x:v>134</x:v>
      </x:c>
      <x:c r="D47" s="444"/>
      <x:c r="E47" s="444"/>
      <x:c r="F47" s="445"/>
      <x:c r="G47" s="4">
        <x:v>515244</x:v>
      </x:c>
      <x:c r="H47" s="327" t="s">
        <x:v>135</x:v>
      </x:c>
      <x:c r="I47" s="327"/>
      <x:c r="J47" s="327"/>
      <x:c r="K47" s="327"/>
      <x:c r="L47" s="328" t="n">
        <x:f>(I20*70/100)/3</x:f>
        <x:v>0</x:v>
      </x:c>
      <x:c r="M47" s="357"/>
      <x:c r="N47" s="330">
        <x:v>0</x:v>
      </x:c>
      <x:c r="O47" s="330"/>
      <x:c r="P47" s="471" t="n">
        <x:f>Wachstumsstrategie!P47</x:f>
        <x:v>0</x:v>
      </x:c>
      <x:c r="Q47" s="328"/>
      <x:c r="R47" s="143" t="n">
        <x:f>IF(N47&gt;=P47,0,IF(P47&gt;N47,P47-N47,""))</x:f>
        <x:v>0</x:v>
      </x:c>
      <x:c r="S47" s="146">
        <x:f t="shared" si="1"/>
        <x:v>0</x:v>
      </x:c>
      <x:c r="T47" s="156"/>
      <x:c r="U47" s="381" t="n">
        <x:f>P47-R47+S47</x:f>
        <x:v>0</x:v>
      </x:c>
      <x:c r="V47" s="382"/>
      <x:c r="W47" s="383"/>
      <x:c r="X47" s="2"/>
      <x:c r="Y47" s="334"/>
      <x:c r="Z47" s="335"/>
      <x:c r="AA47" s="336"/>
      <x:c r="AB47" s="131"/>
      <x:c r="AC47" s="2"/>
      <x:c r="AD47" s="2"/>
      <x:c r="AE47" s="2"/>
      <x:c r="AF47" s="2"/>
      <x:c r="AG47" s="2"/>
      <x:c r="AH47" s="2"/>
      <x:c r="AI47" s="2"/>
      <x:c r="AJ47" s="2"/>
      <x:c r="AK47" s="2"/>
    </x:row>
    <x:row r="48" ht="9.949999809265137" customHeight="1">
      <x:c r="B48" s="6"/>
      <x:c r="G48" s="3"/>
      <x:c r="H48" s="20"/>
      <x:c r="I48" s="20"/>
      <x:c r="J48" s="20"/>
      <x:c r="K48" s="20"/>
      <x:c r="L48" s="137"/>
      <x:c r="M48" s="2"/>
      <x:c r="N48" s="138"/>
      <x:c r="O48" s="138"/>
      <x:c r="P48" s="156"/>
      <x:c r="Q48" s="156"/>
      <x:c r="R48" s="139"/>
      <x:c r="S48" s="141"/>
      <x:c r="T48" s="156"/>
      <x:c r="U48" s="173"/>
      <x:c r="V48" s="137"/>
      <x:c r="W48" s="174"/>
      <x:c r="X48" s="2"/>
      <x:c r="Y48" s="137"/>
      <x:c r="Z48" s="137"/>
      <x:c r="AA48" s="2"/>
      <x:c r="AB48" s="2"/>
      <x:c r="AC48" s="2"/>
      <x:c r="AD48" s="2"/>
      <x:c r="AE48" s="2"/>
      <x:c r="AF48" s="2"/>
      <x:c r="AG48" s="2"/>
      <x:c r="AH48" s="2"/>
      <x:c r="AI48" s="2"/>
      <x:c r="AJ48" s="2"/>
      <x:c r="AK48" s="2"/>
    </x:row>
    <x:row r="49" ht="16.5">
      <x:c r="B49" s="14" t="s">
        <x:v>136</x:v>
      </x:c>
      <x:c r="C49" s="443" t="s">
        <x:v>137</x:v>
      </x:c>
      <x:c r="D49" s="444"/>
      <x:c r="E49" s="444"/>
      <x:c r="F49" s="445"/>
      <x:c r="G49" s="4">
        <x:v>939853</x:v>
      </x:c>
      <x:c r="H49" s="327" t="s">
        <x:v>138</x:v>
      </x:c>
      <x:c r="I49" s="327"/>
      <x:c r="J49" s="327"/>
      <x:c r="K49" s="327"/>
      <x:c r="L49" s="328" t="n">
        <x:f>(I20*70/100)/3</x:f>
        <x:v>0</x:v>
      </x:c>
      <x:c r="M49" s="357"/>
      <x:c r="N49" s="330">
        <x:v>0</x:v>
      </x:c>
      <x:c r="O49" s="330"/>
      <x:c r="P49" s="471" t="n">
        <x:f>Wachstumsstrategie!P49</x:f>
        <x:v>0</x:v>
      </x:c>
      <x:c r="Q49" s="328"/>
      <x:c r="R49" s="143" t="n">
        <x:f>IF(N49&gt;=P49,0,IF(P49&gt;N49,P49-N49,""))</x:f>
        <x:v>0</x:v>
      </x:c>
      <x:c r="S49" s="158">
        <x:f t="shared" si="1"/>
        <x:v>0</x:v>
      </x:c>
      <x:c r="T49" s="156"/>
      <x:c r="U49" s="381" t="n">
        <x:f>P49-R49+S49</x:f>
        <x:v>0</x:v>
      </x:c>
      <x:c r="V49" s="382"/>
      <x:c r="W49" s="383"/>
      <x:c r="X49" s="2"/>
      <x:c r="Y49" s="334"/>
      <x:c r="Z49" s="335"/>
      <x:c r="AA49" s="336"/>
      <x:c r="AB49" s="131"/>
      <x:c r="AC49" s="2"/>
      <x:c r="AD49" s="2"/>
      <x:c r="AE49" s="2"/>
      <x:c r="AF49" s="2"/>
      <x:c r="AG49" s="2"/>
      <x:c r="AH49" s="2"/>
      <x:c r="AI49" s="2"/>
      <x:c r="AJ49" s="2"/>
      <x:c r="AK49" s="2"/>
    </x:row>
    <x:row r="50" ht="9.949999809265137" customHeight="1">
      <x:c r="B50" s="6"/>
      <x:c r="G50" s="3"/>
      <x:c r="H50" s="20"/>
      <x:c r="I50" s="20"/>
      <x:c r="J50" s="20"/>
      <x:c r="K50" s="20"/>
      <x:c r="L50" s="137"/>
      <x:c r="M50" s="2"/>
      <x:c r="N50" s="138"/>
      <x:c r="O50" s="138"/>
      <x:c r="P50" s="156"/>
      <x:c r="Q50" s="156"/>
      <x:c r="R50" s="139"/>
      <x:c r="S50" s="141"/>
      <x:c r="T50" s="156"/>
      <x:c r="U50" s="173"/>
      <x:c r="V50" s="137"/>
      <x:c r="W50" s="174"/>
      <x:c r="X50" s="2"/>
      <x:c r="Y50" s="137"/>
      <x:c r="Z50" s="137"/>
      <x:c r="AA50" s="2"/>
      <x:c r="AB50" s="2"/>
      <x:c r="AC50" s="2"/>
      <x:c r="AD50" s="2"/>
      <x:c r="AE50" s="2"/>
      <x:c r="AF50" s="2"/>
      <x:c r="AG50" s="2"/>
      <x:c r="AH50" s="2"/>
      <x:c r="AI50" s="2"/>
      <x:c r="AJ50" s="2"/>
      <x:c r="AK50" s="2"/>
    </x:row>
    <x:row r="51" ht="16.5">
      <x:c r="B51" s="14" t="s">
        <x:v>139</x:v>
      </x:c>
      <x:c r="C51" s="443" t="s">
        <x:v>140</x:v>
      </x:c>
      <x:c r="D51" s="444"/>
      <x:c r="E51" s="444"/>
      <x:c r="F51" s="445"/>
      <x:c r="G51" s="4" t="s">
        <x:v>141</x:v>
      </x:c>
      <x:c r="H51" s="327" t="s">
        <x:v>142</x:v>
      </x:c>
      <x:c r="I51" s="327"/>
      <x:c r="J51" s="327"/>
      <x:c r="K51" s="327"/>
      <x:c r="L51" s="328" t="n">
        <x:f>(I20*30/100)/2</x:f>
        <x:v>0</x:v>
      </x:c>
      <x:c r="M51" s="357"/>
      <x:c r="N51" s="330">
        <x:v>0</x:v>
      </x:c>
      <x:c r="O51" s="330"/>
      <x:c r="P51" s="471" t="n">
        <x:f>Wachstumsstrategie!P51</x:f>
        <x:v>0</x:v>
      </x:c>
      <x:c r="Q51" s="328"/>
      <x:c r="R51" s="143" t="n">
        <x:f t="shared" ref="R51" si="3">IF(N51&gt;=P51,0,IF(P51&gt;N51,P51-N51,""))</x:f>
        <x:v>0</x:v>
      </x:c>
      <x:c r="S51" s="146">
        <x:f t="shared" si="1"/>
        <x:v>0</x:v>
      </x:c>
      <x:c r="T51" s="156"/>
      <x:c r="U51" s="381" t="n">
        <x:f>P51-R51+S51</x:f>
        <x:v>0</x:v>
      </x:c>
      <x:c r="V51" s="382"/>
      <x:c r="W51" s="383"/>
      <x:c r="X51" s="2"/>
      <x:c r="Y51" s="334"/>
      <x:c r="Z51" s="335"/>
      <x:c r="AA51" s="336"/>
      <x:c r="AB51" s="131"/>
      <x:c r="AC51" s="2"/>
      <x:c r="AD51" s="2"/>
      <x:c r="AE51" s="2"/>
      <x:c r="AF51" s="2"/>
      <x:c r="AG51" s="2"/>
      <x:c r="AH51" s="2"/>
      <x:c r="AI51" s="2"/>
      <x:c r="AJ51" s="2"/>
      <x:c r="AK51" s="2"/>
    </x:row>
    <x:row r="52" ht="9.949999809265137" customHeight="1">
      <x:c r="B52" s="6"/>
      <x:c r="G52" s="3"/>
      <x:c r="H52" s="20"/>
      <x:c r="I52" s="20"/>
      <x:c r="J52" s="20"/>
      <x:c r="K52" s="20"/>
      <x:c r="L52" s="137"/>
      <x:c r="M52" s="2"/>
      <x:c r="N52" s="138"/>
      <x:c r="O52" s="138"/>
      <x:c r="P52" s="156"/>
      <x:c r="Q52" s="156"/>
      <x:c r="R52" s="139"/>
      <x:c r="S52" s="141"/>
      <x:c r="T52" s="156"/>
      <x:c r="U52" s="173"/>
      <x:c r="V52" s="137"/>
      <x:c r="W52" s="174"/>
      <x:c r="X52" s="2"/>
      <x:c r="Y52" s="137"/>
      <x:c r="Z52" s="137"/>
      <x:c r="AA52" s="2"/>
      <x:c r="AB52" s="2"/>
      <x:c r="AC52" s="2"/>
      <x:c r="AD52" s="2"/>
      <x:c r="AE52" s="2"/>
      <x:c r="AF52" s="2"/>
      <x:c r="AG52" s="2"/>
      <x:c r="AH52" s="2"/>
      <x:c r="AI52" s="2"/>
      <x:c r="AJ52" s="2"/>
      <x:c r="AK52" s="2"/>
    </x:row>
    <x:row r="53" ht="16.5">
      <x:c r="B53" s="15" t="s">
        <x:v>143</x:v>
      </x:c>
      <x:c r="C53" s="446" t="s">
        <x:v>144</x:v>
      </x:c>
      <x:c r="D53" s="447"/>
      <x:c r="E53" s="447"/>
      <x:c r="F53" s="448"/>
      <x:c r="G53" s="19" t="s">
        <x:v>145</x:v>
      </x:c>
      <x:c r="H53" s="344" t="s">
        <x:v>146</x:v>
      </x:c>
      <x:c r="I53" s="344"/>
      <x:c r="J53" s="344"/>
      <x:c r="K53" s="344"/>
      <x:c r="L53" s="345" t="n">
        <x:f>(I20*30/100)/2</x:f>
        <x:v>0</x:v>
      </x:c>
      <x:c r="M53" s="374"/>
      <x:c r="N53" s="347">
        <x:v>0</x:v>
      </x:c>
      <x:c r="O53" s="347"/>
      <x:c r="P53" s="470" t="n">
        <x:f>Wachstumsstrategie!P53</x:f>
        <x:v>0</x:v>
      </x:c>
      <x:c r="Q53" s="345"/>
      <x:c r="R53" s="149" t="n">
        <x:f>IF(N53&gt;=P53,0,IF(P53&gt;N53,P53-N53,""))</x:f>
        <x:v>0</x:v>
      </x:c>
      <x:c r="S53" s="152">
        <x:f t="shared" si="1"/>
        <x:v>0</x:v>
      </x:c>
      <x:c r="T53" s="156"/>
      <x:c r="U53" s="386" t="n">
        <x:f>P53-R53+S53</x:f>
        <x:v>0</x:v>
      </x:c>
      <x:c r="V53" s="387"/>
      <x:c r="W53" s="388"/>
      <x:c r="X53" s="2"/>
      <x:c r="Y53" s="334"/>
      <x:c r="Z53" s="335"/>
      <x:c r="AA53" s="336"/>
      <x:c r="AB53" s="131"/>
      <x:c r="AC53" s="2"/>
      <x:c r="AD53" s="2"/>
      <x:c r="AE53" s="2"/>
      <x:c r="AF53" s="2"/>
      <x:c r="AG53" s="2"/>
      <x:c r="AH53" s="2"/>
      <x:c r="AI53" s="2"/>
      <x:c r="AJ53" s="2"/>
      <x:c r="AK53" s="2"/>
    </x:row>
    <x:row r="54" ht="12" customHeight="1">
      <x:c r="B54" s="3"/>
      <x:c r="C54" s="113"/>
      <x:c r="D54" s="113"/>
      <x:c r="E54" s="113"/>
      <x:c r="F54" s="113"/>
      <x:c r="G54" s="3"/>
      <x:c r="H54" s="20"/>
      <x:c r="I54" s="20"/>
      <x:c r="J54" s="20"/>
      <x:c r="K54" s="20"/>
      <x:c r="L54" s="137"/>
      <x:c r="M54" s="2"/>
      <x:c r="N54" s="138"/>
      <x:c r="O54" s="138"/>
      <x:c r="P54" s="156"/>
      <x:c r="Q54" s="156"/>
      <x:c r="R54" s="139"/>
      <x:c r="S54" s="139"/>
      <x:c r="T54" s="156"/>
      <x:c r="U54" s="137"/>
      <x:c r="V54" s="137"/>
      <x:c r="W54" s="2"/>
      <x:c r="X54" s="2"/>
      <x:c r="Y54" s="137"/>
      <x:c r="Z54" s="137"/>
      <x:c r="AA54" s="2"/>
      <x:c r="AB54" s="2"/>
      <x:c r="AC54" s="2"/>
      <x:c r="AD54" s="2"/>
      <x:c r="AE54" s="2"/>
      <x:c r="AF54" s="2"/>
      <x:c r="AG54" s="2"/>
      <x:c r="AH54" s="2"/>
      <x:c r="AI54" s="2"/>
      <x:c r="AJ54" s="2"/>
      <x:c r="AK54" s="2"/>
    </x:row>
    <x:row r="55" ht="16.5">
      <x:c r="B55" s="26" t="s">
        <x:v>147</x:v>
      </x:c>
      <x:c r="C55" s="449" t="s">
        <x:v>148</x:v>
      </x:c>
      <x:c r="D55" s="450"/>
      <x:c r="E55" s="450"/>
      <x:c r="F55" s="451"/>
      <x:c r="G55" s="18">
        <x:v>847423</x:v>
      </x:c>
      <x:c r="H55" s="337" t="s">
        <x:v>20</x:v>
      </x:c>
      <x:c r="I55" s="337"/>
      <x:c r="J55" s="337"/>
      <x:c r="K55" s="337"/>
      <x:c r="L55" s="338" t="n">
        <x:f>L20*40/100</x:f>
        <x:v>0</x:v>
      </x:c>
      <x:c r="M55" s="339"/>
      <x:c r="N55" s="340" t="n">
        <x:f>L20-N57-N59</x:f>
        <x:v>0</x:v>
      </x:c>
      <x:c r="O55" s="340"/>
      <x:c r="P55" s="468" t="n">
        <x:f>Wachstumsstrategie!P55</x:f>
        <x:v>0</x:v>
      </x:c>
      <x:c r="Q55" s="338"/>
      <x:c r="R55" s="157" t="n">
        <x:f>IF(N55&gt;=P55,0,IF(P55&gt;N55,P55-N55,""))</x:f>
        <x:v>0</x:v>
      </x:c>
      <x:c r="S55" s="136">
        <x:f t="shared" si="1"/>
        <x:v>0</x:v>
      </x:c>
      <x:c r="T55" s="156"/>
      <x:c r="U55" s="392" t="n">
        <x:f>P55-R55+S55</x:f>
        <x:v>0</x:v>
      </x:c>
      <x:c r="V55" s="393"/>
      <x:c r="W55" s="394"/>
      <x:c r="X55" s="2"/>
      <x:c r="Y55" s="334"/>
      <x:c r="Z55" s="335"/>
      <x:c r="AA55" s="336"/>
      <x:c r="AB55" s="131"/>
      <x:c r="AC55" s="2"/>
      <x:c r="AD55" s="2"/>
      <x:c r="AE55" s="2"/>
      <x:c r="AF55" s="2"/>
      <x:c r="AG55" s="2"/>
      <x:c r="AH55" s="2"/>
      <x:c r="AI55" s="2"/>
      <x:c r="AJ55" s="2"/>
      <x:c r="AK55" s="2"/>
    </x:row>
    <x:row r="56" ht="9.949999809265137" customHeight="1">
      <x:c r="B56" s="6"/>
      <x:c r="G56" s="3"/>
      <x:c r="H56" s="20"/>
      <x:c r="I56" s="20"/>
      <x:c r="J56" s="20"/>
      <x:c r="K56" s="20"/>
      <x:c r="L56" s="137"/>
      <x:c r="M56" s="2"/>
      <x:c r="N56" s="138"/>
      <x:c r="O56" s="138"/>
      <x:c r="P56" s="156"/>
      <x:c r="Q56" s="156"/>
      <x:c r="R56" s="139"/>
      <x:c r="S56" s="141"/>
      <x:c r="T56" s="156"/>
      <x:c r="U56" s="173"/>
      <x:c r="V56" s="137"/>
      <x:c r="W56" s="174"/>
      <x:c r="X56" s="2"/>
      <x:c r="Y56" s="137"/>
      <x:c r="Z56" s="137"/>
      <x:c r="AA56" s="2"/>
      <x:c r="AB56" s="2"/>
      <x:c r="AC56" s="2"/>
      <x:c r="AD56" s="2"/>
      <x:c r="AE56" s="2"/>
      <x:c r="AF56" s="2"/>
      <x:c r="AG56" s="2"/>
      <x:c r="AH56" s="2"/>
      <x:c r="AI56" s="2"/>
      <x:c r="AJ56" s="2"/>
      <x:c r="AK56" s="2"/>
    </x:row>
    <x:row r="57" ht="16.5">
      <x:c r="B57" s="27" t="s">
        <x:v>149</x:v>
      </x:c>
      <x:c r="C57" s="452" t="s">
        <x:v>150</x:v>
      </x:c>
      <x:c r="D57" s="453"/>
      <x:c r="E57" s="453"/>
      <x:c r="F57" s="454"/>
      <x:c r="G57" s="4" t="s">
        <x:v>151</x:v>
      </x:c>
      <x:c r="H57" s="327" t="s">
        <x:v>28</x:v>
      </x:c>
      <x:c r="I57" s="327"/>
      <x:c r="J57" s="327"/>
      <x:c r="K57" s="327"/>
      <x:c r="L57" s="328" t="n">
        <x:f>L20*30/100</x:f>
        <x:v>0</x:v>
      </x:c>
      <x:c r="M57" s="357"/>
      <x:c r="N57" s="330">
        <x:v>0</x:v>
      </x:c>
      <x:c r="O57" s="330"/>
      <x:c r="P57" s="471" t="n">
        <x:f>Wachstumsstrategie!P57</x:f>
        <x:v>0</x:v>
      </x:c>
      <x:c r="Q57" s="328"/>
      <x:c r="R57" s="143" t="n">
        <x:f>IF(N57&gt;=P57,0,IF(P57&gt;N57,P57-N57,""))</x:f>
        <x:v>0</x:v>
      </x:c>
      <x:c r="S57" s="146">
        <x:f t="shared" si="1"/>
        <x:v>0</x:v>
      </x:c>
      <x:c r="T57" s="156"/>
      <x:c r="U57" s="389" t="n">
        <x:f>P57-R57+S57</x:f>
        <x:v>0</x:v>
      </x:c>
      <x:c r="V57" s="390"/>
      <x:c r="W57" s="391"/>
      <x:c r="X57" s="2"/>
      <x:c r="Y57" s="334"/>
      <x:c r="Z57" s="335"/>
      <x:c r="AA57" s="336"/>
      <x:c r="AB57" s="131"/>
      <x:c r="AC57" s="2"/>
      <x:c r="AD57" s="2"/>
      <x:c r="AE57" s="2"/>
      <x:c r="AF57" s="2"/>
      <x:c r="AG57" s="2"/>
      <x:c r="AH57" s="2"/>
      <x:c r="AI57" s="2"/>
      <x:c r="AJ57" s="2"/>
      <x:c r="AK57" s="2"/>
    </x:row>
    <x:row r="58" ht="9.949999809265137" customHeight="1">
      <x:c r="B58" s="6"/>
      <x:c r="G58" s="3"/>
      <x:c r="H58" s="20"/>
      <x:c r="I58" s="20"/>
      <x:c r="J58" s="20"/>
      <x:c r="K58" s="20"/>
      <x:c r="L58" s="137"/>
      <x:c r="M58" s="2"/>
      <x:c r="N58" s="138"/>
      <x:c r="O58" s="138"/>
      <x:c r="P58" s="156"/>
      <x:c r="Q58" s="156"/>
      <x:c r="R58" s="139"/>
      <x:c r="S58" s="141"/>
      <x:c r="T58" s="156"/>
      <x:c r="U58" s="173"/>
      <x:c r="V58" s="137"/>
      <x:c r="W58" s="174"/>
      <x:c r="X58" s="2"/>
      <x:c r="Y58" s="137"/>
      <x:c r="Z58" s="137"/>
      <x:c r="AA58" s="2"/>
      <x:c r="AB58" s="2"/>
      <x:c r="AC58" s="2"/>
      <x:c r="AD58" s="2"/>
      <x:c r="AE58" s="2"/>
      <x:c r="AF58" s="2"/>
      <x:c r="AG58" s="2"/>
      <x:c r="AH58" s="2"/>
      <x:c r="AI58" s="2"/>
      <x:c r="AJ58" s="2"/>
      <x:c r="AK58" s="2"/>
    </x:row>
    <x:row r="59" ht="16.5">
      <x:c r="B59" s="28" t="s">
        <x:v>152</x:v>
      </x:c>
      <x:c r="C59" s="395" t="s">
        <x:v>153</x:v>
      </x:c>
      <x:c r="D59" s="396"/>
      <x:c r="E59" s="396"/>
      <x:c r="F59" s="397"/>
      <x:c r="G59" s="19" t="s">
        <x:v>154</x:v>
      </x:c>
      <x:c r="H59" s="344" t="s">
        <x:v>155</x:v>
      </x:c>
      <x:c r="I59" s="344"/>
      <x:c r="J59" s="344"/>
      <x:c r="K59" s="344"/>
      <x:c r="L59" s="345" t="n">
        <x:f>L20*30/100</x:f>
        <x:v>0</x:v>
      </x:c>
      <x:c r="M59" s="374"/>
      <x:c r="N59" s="347">
        <x:v>0</x:v>
      </x:c>
      <x:c r="O59" s="347"/>
      <x:c r="P59" s="470" t="n">
        <x:f>Wachstumsstrategie!P59</x:f>
        <x:v>0</x:v>
      </x:c>
      <x:c r="Q59" s="345"/>
      <x:c r="R59" s="149" t="n">
        <x:f>IF(N59&gt;=P59,0,IF(P59&gt;N59,P59-N59,""))</x:f>
        <x:v>0</x:v>
      </x:c>
      <x:c r="S59" s="152">
        <x:f t="shared" si="1"/>
        <x:v>0</x:v>
      </x:c>
      <x:c r="T59" s="156"/>
      <x:c r="U59" s="437" t="n">
        <x:f>P59-R59+S59</x:f>
        <x:v>0</x:v>
      </x:c>
      <x:c r="V59" s="438"/>
      <x:c r="W59" s="439"/>
      <x:c r="X59" s="2"/>
      <x:c r="Y59" s="334"/>
      <x:c r="Z59" s="335"/>
      <x:c r="AA59" s="336"/>
      <x:c r="AB59" s="131"/>
      <x:c r="AC59" s="2"/>
      <x:c r="AD59" s="2"/>
      <x:c r="AE59" s="2"/>
      <x:c r="AF59" s="2"/>
      <x:c r="AG59" s="2"/>
      <x:c r="AH59" s="2"/>
      <x:c r="AI59" s="2"/>
      <x:c r="AJ59" s="2"/>
      <x:c r="AK59" s="2"/>
    </x:row>
    <x:row r="60" ht="12" customHeight="1">
      <x:c r="B60" s="3"/>
      <x:c r="H60" s="20"/>
      <x:c r="I60" s="20"/>
      <x:c r="J60" s="20"/>
      <x:c r="K60" s="20"/>
      <x:c r="L60" s="137"/>
      <x:c r="M60" s="2"/>
      <x:c r="N60" s="138"/>
      <x:c r="O60" s="138"/>
      <x:c r="P60" s="156"/>
      <x:c r="Q60" s="156"/>
      <x:c r="R60" s="139"/>
      <x:c r="S60" s="139"/>
      <x:c r="T60" s="156"/>
      <x:c r="U60" s="137"/>
      <x:c r="V60" s="137"/>
      <x:c r="W60" s="2"/>
      <x:c r="X60" s="2"/>
      <x:c r="Y60" s="137"/>
      <x:c r="Z60" s="137"/>
      <x:c r="AA60" s="2"/>
      <x:c r="AB60" s="2"/>
      <x:c r="AC60" s="2"/>
      <x:c r="AD60" s="2"/>
      <x:c r="AE60" s="2"/>
      <x:c r="AF60" s="2"/>
      <x:c r="AG60" s="2"/>
      <x:c r="AH60" s="2"/>
      <x:c r="AI60" s="2"/>
      <x:c r="AJ60" s="2"/>
      <x:c r="AK60" s="2"/>
    </x:row>
    <x:row r="61" ht="16.5">
      <x:c r="B61" s="16" t="s">
        <x:v>156</x:v>
      </x:c>
      <x:c r="C61" s="423" t="s">
        <x:v>157</x:v>
      </x:c>
      <x:c r="D61" s="423"/>
      <x:c r="E61" s="423"/>
      <x:c r="F61" s="423"/>
      <x:c r="G61" s="18"/>
      <x:c r="H61" s="337" t="s">
        <x:v>158</x:v>
      </x:c>
      <x:c r="I61" s="337"/>
      <x:c r="J61" s="337"/>
      <x:c r="K61" s="337"/>
      <x:c r="L61" s="338" t="n">
        <x:f>O20</x:f>
        <x:v>0</x:v>
      </x:c>
      <x:c r="M61" s="339"/>
      <x:c r="N61" s="340" t="n">
        <x:f>O20+R20-N63</x:f>
        <x:v>0</x:v>
      </x:c>
      <x:c r="O61" s="340"/>
      <x:c r="P61" s="468" t="n">
        <x:f>Wachstumsstrategie!P61</x:f>
        <x:v>0</x:v>
      </x:c>
      <x:c r="Q61" s="338"/>
      <x:c r="R61" s="132" t="n">
        <x:f>IF(N61&gt;=P61,0,IF(P61&gt;N61,P61-N61,""))</x:f>
        <x:v>0</x:v>
      </x:c>
      <x:c r="S61" s="136">
        <x:f t="shared" si="1"/>
        <x:v>0</x:v>
      </x:c>
      <x:c r="T61" s="156"/>
      <x:c r="U61" s="434" t="n">
        <x:f>P61-R61+S61</x:f>
        <x:v>0</x:v>
      </x:c>
      <x:c r="V61" s="435"/>
      <x:c r="W61" s="436"/>
      <x:c r="X61" s="2"/>
      <x:c r="Y61" s="334"/>
      <x:c r="Z61" s="335"/>
      <x:c r="AA61" s="336"/>
      <x:c r="AB61" s="131"/>
      <x:c r="AC61" s="2"/>
      <x:c r="AD61" s="2"/>
      <x:c r="AE61" s="2"/>
      <x:c r="AF61" s="2"/>
      <x:c r="AG61" s="2"/>
      <x:c r="AH61" s="2"/>
      <x:c r="AI61" s="2"/>
      <x:c r="AJ61" s="2"/>
      <x:c r="AK61" s="2"/>
    </x:row>
    <x:row r="62" ht="9.949999809265137" customHeight="1">
      <x:c r="B62" s="6"/>
      <x:c r="H62" s="20"/>
      <x:c r="I62" s="20"/>
      <x:c r="J62" s="20"/>
      <x:c r="K62" s="20"/>
      <x:c r="L62" s="137"/>
      <x:c r="M62" s="2"/>
      <x:c r="N62" s="138"/>
      <x:c r="O62" s="138"/>
      <x:c r="P62" s="156"/>
      <x:c r="Q62" s="156"/>
      <x:c r="R62" s="139"/>
      <x:c r="S62" s="141"/>
      <x:c r="T62" s="2"/>
      <x:c r="U62" s="173"/>
      <x:c r="V62" s="137"/>
      <x:c r="W62" s="174"/>
      <x:c r="X62" s="2"/>
      <x:c r="Y62" s="137"/>
      <x:c r="Z62" s="137"/>
      <x:c r="AA62" s="137"/>
      <x:c r="AB62" s="2"/>
      <x:c r="AC62" s="2"/>
      <x:c r="AD62" s="2"/>
      <x:c r="AE62" s="2"/>
      <x:c r="AF62" s="2"/>
      <x:c r="AG62" s="2"/>
      <x:c r="AH62" s="2"/>
      <x:c r="AI62" s="2"/>
      <x:c r="AJ62" s="2"/>
      <x:c r="AK62" s="2"/>
    </x:row>
    <x:row r="63" ht="16.5">
      <x:c r="B63" s="17" t="s">
        <x:v>159</x:v>
      </x:c>
      <x:c r="C63" s="419" t="s">
        <x:v>160</x:v>
      </x:c>
      <x:c r="D63" s="419"/>
      <x:c r="E63" s="419"/>
      <x:c r="F63" s="419"/>
      <x:c r="G63" s="19"/>
      <x:c r="H63" s="344" t="s">
        <x:v>161</x:v>
      </x:c>
      <x:c r="I63" s="344"/>
      <x:c r="J63" s="344"/>
      <x:c r="K63" s="344"/>
      <x:c r="L63" s="345" t="n">
        <x:f>R20</x:f>
        <x:v>0</x:v>
      </x:c>
      <x:c r="M63" s="374"/>
      <x:c r="N63" s="347">
        <x:v>0</x:v>
      </x:c>
      <x:c r="O63" s="347"/>
      <x:c r="P63" s="470" t="n">
        <x:f>Wachstumsstrategie!P63</x:f>
        <x:v>0</x:v>
      </x:c>
      <x:c r="Q63" s="345"/>
      <x:c r="R63" s="148" t="n">
        <x:f>IF(N63&gt;=P63,0,IF(P63&gt;N63,P63-N63,""))</x:f>
        <x:v>0</x:v>
      </x:c>
      <x:c r="S63" s="152">
        <x:f t="shared" si="1"/>
        <x:v>0</x:v>
      </x:c>
      <x:c r="T63" s="2"/>
      <x:c r="U63" s="420" t="n">
        <x:f>P63-R63+S63</x:f>
        <x:v>0</x:v>
      </x:c>
      <x:c r="V63" s="421"/>
      <x:c r="W63" s="422"/>
      <x:c r="X63" s="2"/>
      <x:c r="Y63" s="362"/>
      <x:c r="Z63" s="362"/>
      <x:c r="AA63" s="368"/>
      <x:c r="AB63" s="131"/>
      <x:c r="AC63" s="2"/>
      <x:c r="AD63" s="2"/>
      <x:c r="AE63" s="177">
        <x:v>0</x:v>
      </x:c>
      <x:c r="AF63" s="2"/>
      <x:c r="AG63" s="2"/>
      <x:c r="AH63" s="2"/>
      <x:c r="AI63" s="177">
        <x:v>0</x:v>
      </x:c>
      <x:c r="AJ63" s="2"/>
      <x:c r="AK63" s="175" t="n">
        <x:f>(AE63+AI63)*12</x:f>
        <x:v>0</x:v>
      </x:c>
    </x:row>
    <x:row r="64" ht="12" customHeight="1">
      <x:c r="L64" s="2"/>
      <x:c r="M64" s="2"/>
      <x:c r="N64" s="2"/>
      <x:c r="O64" s="2"/>
      <x:c r="P64" s="2"/>
      <x:c r="Q64" s="2"/>
      <x:c r="R64" s="139"/>
      <x:c r="S64" s="139"/>
      <x:c r="T64" s="2"/>
      <x:c r="U64" s="2"/>
      <x:c r="V64" s="2"/>
      <x:c r="W64" s="2"/>
      <x:c r="X64" s="2"/>
      <x:c r="Y64" s="2"/>
      <x:c r="Z64" s="2"/>
      <x:c r="AA64" s="2"/>
      <x:c r="AB64" s="2"/>
      <x:c r="AC64" s="2"/>
      <x:c r="AD64" s="2"/>
      <x:c r="AE64" s="2"/>
      <x:c r="AF64" s="2"/>
      <x:c r="AG64" s="2"/>
      <x:c r="AH64" s="2"/>
      <x:c r="AI64" s="2"/>
      <x:c r="AJ64" s="2"/>
      <x:c r="AK64" s="2"/>
    </x:row>
    <x:row r="65" ht="16.5" customHeight="1">
      <x:c r="B65" s="55" t="s">
        <x:v>162</x:v>
      </x:c>
      <x:c r="C65" s="405" t="s">
        <x:v>163</x:v>
      </x:c>
      <x:c r="D65" s="406"/>
      <x:c r="E65" s="406"/>
      <x:c r="F65" s="407"/>
      <x:c r="G65" s="42"/>
      <x:c r="H65" s="408" t="s">
        <x:v>164</x:v>
      </x:c>
      <x:c r="I65" s="409"/>
      <x:c r="J65" s="409"/>
      <x:c r="K65" s="410"/>
      <x:c r="L65" s="411" t="n">
        <x:f>W20</x:f>
        <x:v>0</x:v>
      </x:c>
      <x:c r="M65" s="412"/>
      <x:c r="N65" s="413" t="n">
        <x:f>W20</x:f>
        <x:v>0</x:v>
      </x:c>
      <x:c r="O65" s="414"/>
      <x:c r="P65" s="411" t="n">
        <x:f>Wachstumsstrategie!P65</x:f>
        <x:v>0</x:v>
      </x:c>
      <x:c r="Q65" s="469"/>
      <x:c r="R65" s="159" t="n">
        <x:f>IF(N65&gt;=P65,0,IF(P65&gt;N65,P65-N65,""))</x:f>
        <x:v>0</x:v>
      </x:c>
      <x:c r="S65" s="160">
        <x:f t="shared" si="1"/>
        <x:v>0</x:v>
      </x:c>
      <x:c r="T65" s="2"/>
      <x:c r="U65" s="416" t="n">
        <x:f>P65-R65+S65</x:f>
        <x:v>0</x:v>
      </x:c>
      <x:c r="V65" s="417"/>
      <x:c r="W65" s="418"/>
      <x:c r="X65" s="2"/>
      <x:c r="Y65" s="362"/>
      <x:c r="Z65" s="368"/>
      <x:c r="AA65" s="368"/>
      <x:c r="AB65" s="178"/>
      <x:c r="AC65" s="179"/>
      <x:c r="AD65" s="179"/>
      <x:c r="AE65" s="179"/>
      <x:c r="AF65" s="179"/>
      <x:c r="AG65" s="179"/>
      <x:c r="AH65" s="179"/>
      <x:c r="AI65" s="179"/>
      <x:c r="AJ65" s="179"/>
      <x:c r="AK65" s="179"/>
    </x:row>
    <x:row r="66" ht="15" customHeight="1">
      <x:c r="L66" s="2"/>
      <x:c r="M66" s="2"/>
      <x:c r="N66" s="2"/>
      <x:c r="O66" s="2"/>
      <x:c r="P66" s="2"/>
      <x:c r="Q66" s="2"/>
      <x:c r="R66" s="139"/>
      <x:c r="S66" s="139"/>
      <x:c r="T66" s="2"/>
      <x:c r="U66" s="2"/>
      <x:c r="V66" s="2"/>
      <x:c r="W66" s="2"/>
      <x:c r="X66" s="2"/>
      <x:c r="Y66" s="2"/>
      <x:c r="Z66" s="2"/>
      <x:c r="AA66" s="2"/>
      <x:c r="AB66" s="139"/>
      <x:c r="AC66" s="2"/>
      <x:c r="AD66" s="2"/>
      <x:c r="AE66" s="2"/>
      <x:c r="AF66" s="2"/>
      <x:c r="AG66" s="2"/>
      <x:c r="AH66" s="2"/>
      <x:c r="AI66" s="2"/>
      <x:c r="AJ66" s="2"/>
      <x:c r="AK66" s="2"/>
    </x:row>
    <x:row r="67" ht="16.5" customHeight="1">
      <x:c r="L67" s="2"/>
      <x:c r="M67" s="2"/>
      <x:c r="N67" s="2"/>
      <x:c r="O67" s="2"/>
      <x:c r="P67" s="2"/>
      <x:c r="Q67" s="2"/>
      <x:c r="R67" s="139"/>
      <x:c r="S67" s="139"/>
      <x:c r="T67" s="2"/>
      <x:c r="U67" s="429" t="n">
        <x:f>SUM(U29:U65)</x:f>
        <x:v>0</x:v>
      </x:c>
      <x:c r="V67" s="430"/>
      <x:c r="W67" s="431"/>
      <x:c r="X67" s="2"/>
      <x:c r="Y67" s="362"/>
      <x:c r="Z67" s="362"/>
      <x:c r="AA67" s="362"/>
      <x:c r="AB67" s="2"/>
      <x:c r="AC67" s="2"/>
      <x:c r="AD67" s="2"/>
      <x:c r="AE67" s="2"/>
      <x:c r="AF67" s="2"/>
      <x:c r="AG67" s="2"/>
      <x:c r="AH67" s="2"/>
      <x:c r="AI67" s="2"/>
      <x:c r="AJ67" s="2"/>
      <x:c r="AK67" s="2"/>
    </x:row>
    <x:row r="68" ht="15" customHeight="1">
      <x:c r="L68" s="2"/>
      <x:c r="M68" s="2"/>
      <x:c r="N68" s="2"/>
      <x:c r="O68" s="2"/>
      <x:c r="P68" s="2"/>
      <x:c r="Q68" s="2"/>
      <x:c r="R68" s="139"/>
      <x:c r="S68" s="139"/>
      <x:c r="T68" s="156"/>
      <x:c r="U68" s="2"/>
      <x:c r="V68" s="2"/>
      <x:c r="W68" s="2"/>
      <x:c r="X68" s="2"/>
      <x:c r="Y68" s="2"/>
      <x:c r="Z68" s="2"/>
      <x:c r="AA68" s="2"/>
      <x:c r="AB68" s="2"/>
      <x:c r="AC68" s="2"/>
      <x:c r="AD68" s="2"/>
      <x:c r="AE68" s="2"/>
      <x:c r="AF68" s="2"/>
      <x:c r="AG68" s="2"/>
      <x:c r="AH68" s="2"/>
      <x:c r="AI68" s="2"/>
      <x:c r="AJ68" s="2"/>
      <x:c r="AK68" s="2"/>
    </x:row>
    <x:row r="69" ht="16.5">
      <x:c r="B69" s="43" t="s">
        <x:v>165</x:v>
      </x:c>
      <x:c r="C69" s="401" t="s">
        <x:v>166</x:v>
      </x:c>
      <x:c r="D69" s="401"/>
      <x:c r="E69" s="401"/>
      <x:c r="F69" s="401"/>
      <x:c r="G69" s="18"/>
      <x:c r="H69" s="337" t="s">
        <x:v>167</x:v>
      </x:c>
      <x:c r="I69" s="337"/>
      <x:c r="J69" s="337"/>
      <x:c r="K69" s="337"/>
      <x:c r="L69" s="338"/>
      <x:c r="M69" s="339"/>
      <x:c r="N69" s="340" t="n">
        <x:f>Wachstumsstrategie!N69</x:f>
        <x:v>0</x:v>
      </x:c>
      <x:c r="O69" s="340"/>
      <x:c r="P69" s="468" t="n">
        <x:f>Wachstumsstrategie!P69</x:f>
        <x:v>0</x:v>
      </x:c>
      <x:c r="Q69" s="338"/>
      <x:c r="R69" s="157" t="n">
        <x:f t="shared" ref="R69" si="4">IF(N69&gt;=P69,0,IF(P69&gt;N69,P69-N69,""))</x:f>
        <x:v>0</x:v>
      </x:c>
      <x:c r="S69" s="136">
        <x:f t="shared" si="1"/>
        <x:v>0</x:v>
      </x:c>
      <x:c r="T69" s="156"/>
      <x:c r="U69" s="402" t="n">
        <x:f>P69-R69+S69</x:f>
        <x:v>0</x:v>
      </x:c>
      <x:c r="V69" s="403"/>
      <x:c r="W69" s="404"/>
      <x:c r="X69" s="2"/>
      <x:c r="Y69" s="334"/>
      <x:c r="Z69" s="335"/>
      <x:c r="AA69" s="336"/>
      <x:c r="AB69" s="131"/>
      <x:c r="AC69" s="2"/>
      <x:c r="AD69" s="2"/>
      <x:c r="AE69" s="2"/>
      <x:c r="AF69" s="2"/>
      <x:c r="AG69" s="2"/>
      <x:c r="AH69" s="2"/>
      <x:c r="AI69" s="2"/>
      <x:c r="AJ69" s="2"/>
      <x:c r="AK69" s="2"/>
    </x:row>
    <x:row r="70" ht="9.949999809265137" customHeight="1">
      <x:c r="B70" s="6"/>
      <x:c r="H70" s="20"/>
      <x:c r="I70" s="20"/>
      <x:c r="J70" s="20"/>
      <x:c r="K70" s="20"/>
      <x:c r="L70" s="137"/>
      <x:c r="M70" s="2"/>
      <x:c r="N70" s="138"/>
      <x:c r="O70" s="138"/>
      <x:c r="P70" s="156"/>
      <x:c r="Q70" s="156"/>
      <x:c r="R70" s="139"/>
      <x:c r="S70" s="141"/>
      <x:c r="T70" s="156"/>
      <x:c r="U70" s="180"/>
      <x:c r="V70" s="2"/>
      <x:c r="W70" s="174"/>
      <x:c r="X70" s="2"/>
      <x:c r="Y70" s="2"/>
      <x:c r="Z70" s="2"/>
      <x:c r="AA70" s="2"/>
      <x:c r="AB70" s="2"/>
      <x:c r="AC70" s="2"/>
      <x:c r="AD70" s="2"/>
      <x:c r="AE70" s="2"/>
      <x:c r="AF70" s="2"/>
      <x:c r="AG70" s="2"/>
      <x:c r="AH70" s="2"/>
      <x:c r="AI70" s="2"/>
      <x:c r="AJ70" s="2"/>
      <x:c r="AK70" s="2"/>
    </x:row>
    <x:row r="71" ht="16.5" customHeight="1">
      <x:c r="B71" s="44" t="s">
        <x:v>168</x:v>
      </x:c>
      <x:c r="C71" s="424" t="s">
        <x:v>169</x:v>
      </x:c>
      <x:c r="D71" s="424"/>
      <x:c r="E71" s="424"/>
      <x:c r="F71" s="424"/>
      <x:c r="G71" s="19"/>
      <x:c r="H71" s="344" t="s">
        <x:v>167</x:v>
      </x:c>
      <x:c r="I71" s="344"/>
      <x:c r="J71" s="344"/>
      <x:c r="K71" s="344"/>
      <x:c r="L71" s="345"/>
      <x:c r="M71" s="374"/>
      <x:c r="N71" s="425"/>
      <x:c r="O71" s="425"/>
      <x:c r="P71" s="384"/>
      <x:c r="Q71" s="385"/>
      <x:c r="R71" s="149" t="n">
        <x:f>P71</x:f>
        <x:v>0</x:v>
      </x:c>
      <x:c r="S71" s="152" t="n">
        <x:f t="shared" ref="S71" si="5">N71-P71+R71</x:f>
        <x:v>0</x:v>
      </x:c>
      <x:c r="T71" s="156"/>
      <x:c r="U71" s="426" t="n">
        <x:f>P71-R71+S71</x:f>
        <x:v>0</x:v>
      </x:c>
      <x:c r="V71" s="427"/>
      <x:c r="W71" s="428"/>
      <x:c r="X71" s="2"/>
      <x:c r="Y71" s="362"/>
      <x:c r="Z71" s="362"/>
      <x:c r="AA71" s="368"/>
      <x:c r="AB71" s="2"/>
      <x:c r="AC71" s="2"/>
      <x:c r="AD71" s="2"/>
      <x:c r="AE71" s="2"/>
      <x:c r="AF71" s="2"/>
      <x:c r="AG71" s="2"/>
      <x:c r="AH71" s="2"/>
      <x:c r="AI71" s="2"/>
      <x:c r="AJ71" s="2"/>
      <x:c r="AK71" s="2"/>
    </x:row>
    <x:row r="72" ht="15" customHeight="1">
      <x:c r="B72" s="3"/>
      <x:c r="G72" s="3"/>
      <x:c r="H72" s="20"/>
      <x:c r="I72" s="20"/>
      <x:c r="J72" s="20"/>
      <x:c r="K72" s="20"/>
      <x:c r="L72" s="139"/>
      <x:c r="M72" s="131"/>
      <x:c r="N72" s="162"/>
      <x:c r="O72" s="162"/>
      <x:c r="P72" s="139"/>
      <x:c r="Q72" s="139"/>
      <x:c r="R72" s="139"/>
      <x:c r="S72" s="139"/>
      <x:c r="T72" s="2"/>
      <x:c r="U72" s="139"/>
      <x:c r="V72" s="139"/>
      <x:c r="W72" s="131"/>
      <x:c r="X72" s="2"/>
      <x:c r="Y72" s="2"/>
      <x:c r="Z72" s="2"/>
      <x:c r="AA72" s="2"/>
      <x:c r="AB72" s="2"/>
      <x:c r="AC72" s="2"/>
      <x:c r="AD72" s="2"/>
      <x:c r="AE72" s="2"/>
      <x:c r="AF72" s="2"/>
      <x:c r="AG72" s="2"/>
      <x:c r="AH72" s="2"/>
      <x:c r="AI72" s="2"/>
      <x:c r="AJ72" s="2"/>
      <x:c r="AK72" s="2"/>
    </x:row>
    <x:row r="73" ht="16.5" customHeight="1">
      <x:c r="B73" s="3"/>
      <x:c r="G73" s="3"/>
      <x:c r="H73" s="20"/>
      <x:c r="I73" s="20"/>
      <x:c r="J73" s="20"/>
      <x:c r="K73" s="20"/>
      <x:c r="L73" s="139"/>
      <x:c r="M73" s="131"/>
      <x:c r="N73" s="162"/>
      <x:c r="O73" s="162"/>
      <x:c r="P73" s="362"/>
      <x:c r="Q73" s="362"/>
      <x:c r="R73" s="163" t="n">
        <x:f>SUM(R29:R71)</x:f>
        <x:v>0</x:v>
      </x:c>
      <x:c r="S73" s="163" t="n">
        <x:f>SUM(S29:S71)</x:f>
        <x:v>0</x:v>
      </x:c>
      <x:c r="T73" s="2"/>
      <x:c r="U73" s="139"/>
      <x:c r="V73" s="139"/>
      <x:c r="W73" s="131"/>
      <x:c r="X73" s="2"/>
      <x:c r="Y73" s="2"/>
      <x:c r="Z73" s="2"/>
      <x:c r="AA73" s="2"/>
      <x:c r="AB73" s="2"/>
      <x:c r="AC73" s="2"/>
      <x:c r="AD73" s="2"/>
      <x:c r="AE73" s="2"/>
      <x:c r="AF73" s="2"/>
      <x:c r="AG73" s="2"/>
      <x:c r="AH73" s="2"/>
      <x:c r="AI73" s="2"/>
      <x:c r="AJ73" s="2"/>
      <x:c r="AK73" s="2"/>
    </x:row>
    <x:row r="74" ht="15" customHeight="1"/>
    <x:row r="75" ht="16.5" customHeight="1">
      <x:c r="J75" s="300" t="s">
        <x:v>49</x:v>
      </x:c>
      <x:c r="K75" s="301"/>
      <x:c r="L75" s="302"/>
      <x:c r="M75" s="56"/>
      <x:c r="N75" s="432" t="n">
        <x:f>SUM(N29:O71)</x:f>
        <x:v>0</x:v>
      </x:c>
      <x:c r="O75" s="302"/>
      <x:c r="P75" s="432" t="n">
        <x:f>SUM(P29:P74)</x:f>
        <x:v>0</x:v>
      </x:c>
      <x:c r="Q75" s="302"/>
      <x:c r="R75" s="56"/>
      <x:c r="S75" s="56"/>
      <x:c r="T75" s="56"/>
      <x:c r="U75" s="432" t="n">
        <x:f>U67+U69+U71</x:f>
        <x:v>0</x:v>
      </x:c>
      <x:c r="V75" s="433"/>
      <x:c r="W75" s="302"/>
      <x:c r="X75" s="56"/>
      <x:c r="Y75" s="432" t="n">
        <x:f>SUM(Y29:AA69)</x:f>
        <x:v>0</x:v>
      </x:c>
      <x:c r="Z75" s="301"/>
      <x:c r="AA75" s="302"/>
      <x:c r="AB75" s="56"/>
      <x:c r="AC75" s="57" t="n">
        <x:f>AC29+AC31+AC33</x:f>
        <x:v>0</x:v>
      </x:c>
      <x:c r="AD75" s="56"/>
      <x:c r="AE75" s="57" t="n">
        <x:f>AE35+AE37+AE39+AE41+AE43+AE63</x:f>
        <x:v>0</x:v>
      </x:c>
      <x:c r="AF75" s="56"/>
      <x:c r="AG75" s="57" t="n">
        <x:f>AG29+AG31+AG33</x:f>
        <x:v>0</x:v>
      </x:c>
      <x:c r="AH75" s="56"/>
      <x:c r="AI75" s="57" t="n">
        <x:f>AI37+AI35+AI39+AI41+AI43+AI63</x:f>
        <x:v>0</x:v>
      </x:c>
      <x:c r="AJ75" s="56"/>
      <x:c r="AK75" s="60" t="n">
        <x:f>AK63+AK43+AK33</x:f>
        <x:v>0</x:v>
      </x:c>
      <x:c r="AL75" s="56"/>
    </x:row>
    <x:row r="76" ht="16.5" customHeight="1">
      <x:c r="J76" s="56"/>
      <x:c r="K76" s="56"/>
      <x:c r="L76" s="56"/>
      <x:c r="M76" s="56"/>
      <x:c r="N76" s="56"/>
      <x:c r="O76" s="56"/>
      <x:c r="P76" s="56"/>
      <x:c r="Q76" s="56"/>
      <x:c r="R76" s="56"/>
      <x:c r="S76" s="56"/>
      <x:c r="T76" s="56"/>
      <x:c r="U76" s="56"/>
      <x:c r="V76" s="56"/>
      <x:c r="W76" s="56"/>
      <x:c r="X76" s="56"/>
      <x:c r="Y76" s="56"/>
      <x:c r="Z76" s="56"/>
      <x:c r="AA76" s="56"/>
      <x:c r="AB76" s="56"/>
      <x:c r="AC76" s="58" t="s">
        <x:v>170</x:v>
      </x:c>
      <x:c r="AD76" s="59"/>
      <x:c r="AE76" s="58" t="s">
        <x:v>171</x:v>
      </x:c>
      <x:c r="AF76" s="59"/>
      <x:c r="AG76" s="58" t="s">
        <x:v>170</x:v>
      </x:c>
      <x:c r="AH76" s="59"/>
      <x:c r="AI76" s="58" t="s">
        <x:v>171</x:v>
      </x:c>
      <x:c r="AJ76" s="59"/>
      <x:c r="AK76" s="58" t="s">
        <x:v>172</x:v>
      </x:c>
      <x:c r="AL76" s="56"/>
    </x:row>
    <x:row r="80" ht="18.75">
      <x:c r="B80" s="127" t="s">
        <x:v>1</x:v>
      </x:c>
      <x:c r="C80" s="127" t="s">
        <x:v>176</x:v>
      </x:c>
      <x:c r="D80" s="127"/>
      <x:c r="E80" s="127"/>
    </x:row>
    <x:row r="81" ht="18.75">
      <x:c r="B81" s="127" t="s">
        <x:v>3</x:v>
      </x:c>
      <x:c r="C81" s="127" t="s">
        <x:v>177</x:v>
      </x:c>
      <x:c r="D81" s="127"/>
      <x:c r="E81" s="127"/>
    </x:row>
    <x:row r="82" ht="18.75">
      <x:c r="B82" s="127" t="s">
        <x:v>5</x:v>
      </x:c>
      <x:c r="C82" s="127" t="s">
        <x:v>178</x:v>
      </x:c>
      <x:c r="D82" s="127"/>
      <x:c r="E82" s="127"/>
    </x:row>
    <x:row r="83" ht="18.75">
      <x:c r="B83" s="127" t="s">
        <x:v>7</x:v>
      </x:c>
      <x:c r="C83" s="127" t="s">
        <x:v>179</x:v>
      </x:c>
      <x:c r="D83" s="127"/>
      <x:c r="E83" s="127"/>
    </x:row>
    <x:row r="84" ht="18.75">
      <x:c r="B84" s="127" t="s">
        <x:v>9</x:v>
      </x:c>
      <x:c r="C84" s="127" t="s">
        <x:v>180</x:v>
      </x:c>
      <x:c r="D84" s="127"/>
      <x:c r="E84" s="127"/>
    </x:row>
  </x:sheetData>
  <x:mergeCells>
    <x:mergeCell ref="V12:AA13"/>
    <x:mergeCell ref="V14:AA14"/>
    <x:mergeCell ref="W18:Y18"/>
    <x:mergeCell ref="W19:Y19"/>
    <x:mergeCell ref="W20:Y20"/>
    <x:mergeCell ref="C12:G13"/>
    <x:mergeCell ref="I12:M13"/>
    <x:mergeCell ref="O12:S13"/>
    <x:mergeCell ref="C14:G14"/>
    <x:mergeCell ref="I14:M14"/>
    <x:mergeCell ref="O14:S14"/>
    <x:mergeCell ref="C16:D16"/>
    <x:mergeCell ref="F16:G16"/>
    <x:mergeCell ref="I16:J16"/>
    <x:mergeCell ref="L16:M16"/>
    <x:mergeCell ref="O16:P16"/>
    <x:mergeCell ref="R16:S16"/>
    <x:mergeCell ref="C19:D19"/>
    <x:mergeCell ref="F19:G19"/>
    <x:mergeCell ref="I19:J19"/>
    <x:mergeCell ref="L19:M19"/>
    <x:mergeCell ref="O19:P19"/>
    <x:mergeCell ref="R19:S19"/>
    <x:mergeCell ref="I20:J20"/>
    <x:mergeCell ref="H9:N9"/>
    <x:mergeCell ref="Y9:AF9"/>
    <x:mergeCell ref="D2:I2"/>
    <x:mergeCell ref="D3:G3"/>
    <x:mergeCell ref="H3:I3"/>
    <x:mergeCell ref="P3:V3"/>
    <x:mergeCell ref="P4:V4"/>
    <x:mergeCell ref="H7:N8"/>
    <x:mergeCell ref="Y7:AF8"/>
    <x:mergeCell ref="AC16:AD16"/>
    <x:mergeCell ref="C17:D17"/>
    <x:mergeCell ref="F17:G17"/>
    <x:mergeCell ref="I17:J17"/>
    <x:mergeCell ref="L17:M17"/>
    <x:mergeCell ref="O17:P17"/>
    <x:mergeCell ref="R17:S17"/>
    <x:mergeCell ref="AC17:AD17"/>
    <x:mergeCell ref="AC18:AD18"/>
    <x:mergeCell ref="W16:Y16"/>
    <x:mergeCell ref="W17:Y17"/>
    <x:mergeCell ref="AC19:AD19"/>
    <x:mergeCell ref="C18:D18"/>
    <x:mergeCell ref="F18:G18"/>
    <x:mergeCell ref="I18:J18"/>
    <x:mergeCell ref="L18:M18"/>
    <x:mergeCell ref="O18:P18"/>
    <x:mergeCell ref="R18:S18"/>
    <x:mergeCell ref="AC22:AD22"/>
    <x:mergeCell ref="B27:F27"/>
    <x:mergeCell ref="H27:K27"/>
    <x:mergeCell ref="L27:M27"/>
    <x:mergeCell ref="N27:O27"/>
    <x:mergeCell ref="U27:W27"/>
    <x:mergeCell ref="Y27:AA27"/>
    <x:mergeCell ref="T20:V20"/>
    <x:mergeCell ref="AC20:AD20"/>
    <x:mergeCell ref="C22:D22"/>
    <x:mergeCell ref="F22:G22"/>
    <x:mergeCell ref="I22:J22"/>
    <x:mergeCell ref="L22:M22"/>
    <x:mergeCell ref="O22:P22"/>
    <x:mergeCell ref="R22:S22"/>
    <x:mergeCell ref="C20:D20"/>
    <x:mergeCell ref="F20:G20"/>
    <x:mergeCell ref="L20:M20"/>
    <x:mergeCell ref="O20:P20"/>
    <x:mergeCell ref="R20:S20"/>
    <x:mergeCell ref="W22:Y22"/>
    <x:mergeCell ref="C31:F31"/>
    <x:mergeCell ref="H31:K31"/>
    <x:mergeCell ref="L31:M31"/>
    <x:mergeCell ref="N31:O31"/>
    <x:mergeCell ref="U31:W31"/>
    <x:mergeCell ref="Y31:AA31"/>
    <x:mergeCell ref="C29:F29"/>
    <x:mergeCell ref="H29:K29"/>
    <x:mergeCell ref="L29:M29"/>
    <x:mergeCell ref="N29:O29"/>
    <x:mergeCell ref="U29:W29"/>
    <x:mergeCell ref="Y29:AA29"/>
    <x:mergeCell ref="H33:K33"/>
    <x:mergeCell ref="L33:M33"/>
    <x:mergeCell ref="N33:O33"/>
    <x:mergeCell ref="U33:W33"/>
    <x:mergeCell ref="Y33:AA33"/>
    <x:mergeCell ref="C35:F35"/>
    <x:mergeCell ref="H35:K35"/>
    <x:mergeCell ref="L35:M35"/>
    <x:mergeCell ref="N35:O35"/>
    <x:mergeCell ref="U35:W35"/>
    <x:mergeCell ref="C33:F33"/>
    <x:mergeCell ref="Y38:AA38"/>
    <x:mergeCell ref="C39:F39"/>
    <x:mergeCell ref="H39:K39"/>
    <x:mergeCell ref="L39:M39"/>
    <x:mergeCell ref="N39:O39"/>
    <x:mergeCell ref="U39:W39"/>
    <x:mergeCell ref="Y35:AA35"/>
    <x:mergeCell ref="C37:F37"/>
    <x:mergeCell ref="H37:K37"/>
    <x:mergeCell ref="L37:M37"/>
    <x:mergeCell ref="N37:O37"/>
    <x:mergeCell ref="U37:W37"/>
    <x:mergeCell ref="Y37:AA37"/>
    <x:mergeCell ref="C43:F43"/>
    <x:mergeCell ref="H43:K43"/>
    <x:mergeCell ref="L43:M43"/>
    <x:mergeCell ref="N43:O43"/>
    <x:mergeCell ref="U43:W43"/>
    <x:mergeCell ref="Y43:AA43"/>
    <x:mergeCell ref="C41:F41"/>
    <x:mergeCell ref="H41:K41"/>
    <x:mergeCell ref="L41:M41"/>
    <x:mergeCell ref="N41:O41"/>
    <x:mergeCell ref="U41:W41"/>
    <x:mergeCell ref="Y41:AA41"/>
    <x:mergeCell ref="Y45:AA45"/>
    <x:mergeCell ref="C47:F47"/>
    <x:mergeCell ref="H47:K47"/>
    <x:mergeCell ref="L47:M47"/>
    <x:mergeCell ref="N47:O47"/>
    <x:mergeCell ref="P47:Q47"/>
    <x:mergeCell ref="U47:W47"/>
    <x:mergeCell ref="Y47:AA47"/>
    <x:mergeCell ref="C45:F45"/>
    <x:mergeCell ref="H45:K45"/>
    <x:mergeCell ref="L45:M45"/>
    <x:mergeCell ref="N45:O45"/>
    <x:mergeCell ref="P45:Q45"/>
    <x:mergeCell ref="U45:W45"/>
    <x:mergeCell ref="Y49:AA49"/>
    <x:mergeCell ref="C51:F51"/>
    <x:mergeCell ref="H51:K51"/>
    <x:mergeCell ref="L51:M51"/>
    <x:mergeCell ref="N51:O51"/>
    <x:mergeCell ref="P51:Q51"/>
    <x:mergeCell ref="U51:W51"/>
    <x:mergeCell ref="Y51:AA51"/>
    <x:mergeCell ref="C49:F49"/>
    <x:mergeCell ref="H49:K49"/>
    <x:mergeCell ref="L49:M49"/>
    <x:mergeCell ref="N49:O49"/>
    <x:mergeCell ref="P49:Q49"/>
    <x:mergeCell ref="U49:W49"/>
    <x:mergeCell ref="Y53:AA53"/>
    <x:mergeCell ref="C55:F55"/>
    <x:mergeCell ref="H55:K55"/>
    <x:mergeCell ref="L55:M55"/>
    <x:mergeCell ref="N55:O55"/>
    <x:mergeCell ref="P55:Q55"/>
    <x:mergeCell ref="U55:W55"/>
    <x:mergeCell ref="Y55:AA55"/>
    <x:mergeCell ref="C53:F53"/>
    <x:mergeCell ref="H53:K53"/>
    <x:mergeCell ref="L53:M53"/>
    <x:mergeCell ref="N53:O53"/>
    <x:mergeCell ref="P53:Q53"/>
    <x:mergeCell ref="U53:W53"/>
    <x:mergeCell ref="Y57:AA57"/>
    <x:mergeCell ref="C59:F59"/>
    <x:mergeCell ref="H59:K59"/>
    <x:mergeCell ref="L59:M59"/>
    <x:mergeCell ref="N59:O59"/>
    <x:mergeCell ref="P59:Q59"/>
    <x:mergeCell ref="U59:W59"/>
    <x:mergeCell ref="Y59:AA59"/>
    <x:mergeCell ref="C57:F57"/>
    <x:mergeCell ref="H57:K57"/>
    <x:mergeCell ref="L57:M57"/>
    <x:mergeCell ref="N57:O57"/>
    <x:mergeCell ref="P57:Q57"/>
    <x:mergeCell ref="U57:W57"/>
    <x:mergeCell ref="Y61:AA61"/>
    <x:mergeCell ref="C63:F63"/>
    <x:mergeCell ref="H63:K63"/>
    <x:mergeCell ref="L63:M63"/>
    <x:mergeCell ref="N63:O63"/>
    <x:mergeCell ref="P63:Q63"/>
    <x:mergeCell ref="U63:W63"/>
    <x:mergeCell ref="Y63:AA63"/>
    <x:mergeCell ref="C61:F61"/>
    <x:mergeCell ref="H61:K61"/>
    <x:mergeCell ref="L61:M61"/>
    <x:mergeCell ref="N61:O61"/>
    <x:mergeCell ref="P61:Q61"/>
    <x:mergeCell ref="U61:W61"/>
    <x:mergeCell ref="Y65:AA65"/>
    <x:mergeCell ref="U67:W67"/>
    <x:mergeCell ref="Y67:AA67"/>
    <x:mergeCell ref="C69:F69"/>
    <x:mergeCell ref="H69:K69"/>
    <x:mergeCell ref="L69:M69"/>
    <x:mergeCell ref="N69:O69"/>
    <x:mergeCell ref="P69:Q69"/>
    <x:mergeCell ref="U69:W69"/>
    <x:mergeCell ref="Y69:AA69"/>
    <x:mergeCell ref="C65:F65"/>
    <x:mergeCell ref="H65:K65"/>
    <x:mergeCell ref="L65:M65"/>
    <x:mergeCell ref="N65:O65"/>
    <x:mergeCell ref="P65:Q65"/>
    <x:mergeCell ref="U65:W65"/>
    <x:mergeCell ref="Y71:AA71"/>
    <x:mergeCell ref="P73:Q73"/>
    <x:mergeCell ref="J75:L75"/>
    <x:mergeCell ref="N75:O75"/>
    <x:mergeCell ref="P75:Q75"/>
    <x:mergeCell ref="U75:W75"/>
    <x:mergeCell ref="Y75:AA75"/>
    <x:mergeCell ref="C71:F71"/>
    <x:mergeCell ref="H71:K71"/>
    <x:mergeCell ref="L71:M71"/>
    <x:mergeCell ref="N71:O71"/>
    <x:mergeCell ref="P71:Q71"/>
    <x:mergeCell ref="U71:W71"/>
  </x:mergeCells>
  <x:hyperlinks>
    <x:hyperlink xmlns:r="http://schemas.openxmlformats.org/officeDocument/2006/relationships" ref="C29" r:id="R85b58a6addbc4a44"/>
    <x:hyperlink xmlns:r="http://schemas.openxmlformats.org/officeDocument/2006/relationships" ref="C31" r:id="Rd0b7e631fb3147b3"/>
    <x:hyperlink xmlns:r="http://schemas.openxmlformats.org/officeDocument/2006/relationships" ref="C33" r:id="R2d00d4b559054626"/>
    <x:hyperlink xmlns:r="http://schemas.openxmlformats.org/officeDocument/2006/relationships" ref="C35" r:id="R6e37de39cb6a4744"/>
    <x:hyperlink xmlns:r="http://schemas.openxmlformats.org/officeDocument/2006/relationships" ref="C37" r:id="Rb431ccf3f3864bb0"/>
    <x:hyperlink xmlns:r="http://schemas.openxmlformats.org/officeDocument/2006/relationships" ref="C39" r:id="R68f4afd4be724099"/>
    <x:hyperlink xmlns:r="http://schemas.openxmlformats.org/officeDocument/2006/relationships" ref="C41" r:id="R78ade3484b5f442f"/>
    <x:hyperlink xmlns:r="http://schemas.openxmlformats.org/officeDocument/2006/relationships" ref="C43" r:id="Rb93e0936fb1b486b"/>
    <x:hyperlink xmlns:r="http://schemas.openxmlformats.org/officeDocument/2006/relationships" ref="C45" r:id="Rc61269f0f1254c39"/>
    <x:hyperlink xmlns:r="http://schemas.openxmlformats.org/officeDocument/2006/relationships" ref="C47" r:id="Rf0b0a347435641da"/>
    <x:hyperlink xmlns:r="http://schemas.openxmlformats.org/officeDocument/2006/relationships" ref="C49" r:id="R60cb880f497a4a8b"/>
    <x:hyperlink xmlns:r="http://schemas.openxmlformats.org/officeDocument/2006/relationships" ref="C51" r:id="R1f740b4cf2b64a8a"/>
    <x:hyperlink xmlns:r="http://schemas.openxmlformats.org/officeDocument/2006/relationships" ref="C53" r:id="Rd26ff782dd0e472a"/>
    <x:hyperlink xmlns:r="http://schemas.openxmlformats.org/officeDocument/2006/relationships" ref="C55" r:id="R5311024ef4784cc1"/>
    <x:hyperlink xmlns:r="http://schemas.openxmlformats.org/officeDocument/2006/relationships" ref="C57" r:id="Rb62c11059ce540f0"/>
    <x:hyperlink xmlns:r="http://schemas.openxmlformats.org/officeDocument/2006/relationships" ref="C59" r:id="R61612c5856ee448a"/>
  </x:hyperlinks>
  <x:pageMargins left="0.7" right="0.7" top="0.75" bottom="0.75" header="0.3" footer="0.3"/>
  <x:drawing xmlns:r="http://schemas.openxmlformats.org/officeDocument/2006/relationships" r:id="R4a1ec819cfb34d4f"/>
</x:worksheet>
</file>

<file path=xl/worksheets/sheet4.xml><?xml version="1.0" encoding="utf-8"?>
<worksheet xmlns="http://schemas.openxmlformats.org/spreadsheetml/2006/main" xmlns:r="http://schemas.openxmlformats.org/officeDocument/2006/relationships">
  <sheetFormatPr baseColWidth="10" defaultColWidth="10.7109375" defaultRowHeight="15"/>
  <cols>
    <col min="1" max="1" width="8.85546875" customWidth="1"/>
    <col min="4" max="4" width="19.28515625" customWidth="1"/>
    <col min="5" max="5" width="13.140625" customWidth="1"/>
    <col min="6" max="6" width="7" customWidth="1"/>
    <col min="7" max="7" width="14.42578125" style="25" customWidth="1"/>
    <col min="8" max="8" width="12.28515625" customWidth="1"/>
    <col min="9" max="9" width="10.7109375" style="61" customWidth="0"/>
    <col min="10" max="10" width="11.28515625" style="61" customWidth="1"/>
    <col min="11" max="11" width="12.85546875" style="221" customWidth="1"/>
    <col min="12" max="12" width="13.5703125" customWidth="1"/>
    <col min="13" max="14" width="8.85546875" customWidth="1"/>
    <col min="15" max="15" width="10.140625" customWidth="1"/>
    <col min="16" max="23" width="8.85546875" customWidth="1"/>
    <col min="24" max="24" width="10.140625" customWidth="1"/>
    <col min="25" max="25" width="13.28515625" customWidth="1"/>
    <col min="26" max="26" width="22.5703125" customWidth="1"/>
    <col min="28" max="28" width="14.42578125" customWidth="1"/>
    <col min="29" max="29" width="13.140625" customWidth="1"/>
  </cols>
  <sheetData>
    <row r="1" ht="15.75"/>
    <row r="2" ht="43.5" customHeight="1">
      <c r="B2" s="502" t="s">
        <v>184</v>
      </c>
      <c r="C2" s="503"/>
      <c r="D2" s="499">
        <v>46198</v>
      </c>
      <c r="E2" s="500"/>
      <c r="F2" s="501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2"/>
      <c r="Z2" s="22"/>
      <c r="AA2" s="22"/>
      <c r="AB2" s="22"/>
      <c r="AC2" s="22"/>
    </row>
    <row r="3" ht="15" customHeight="1">
      <c r="B3" s="104"/>
      <c r="C3" s="104"/>
      <c r="D3" s="105"/>
      <c r="E3" s="105"/>
      <c r="F3" s="105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2"/>
      <c r="Z3" s="22"/>
      <c r="AA3" s="22"/>
      <c r="AB3" s="22"/>
      <c r="AC3" s="22"/>
    </row>
    <row r="4" ht="26.25">
      <c r="D4" s="102" t="s">
        <v>185</v>
      </c>
    </row>
    <row r="5" ht="15.75"/>
    <row r="6">
      <c r="A6" s="488" t="s">
        <v>86</v>
      </c>
      <c r="B6" s="493" t="s">
        <v>186</v>
      </c>
      <c r="C6" s="494"/>
      <c r="D6" s="495"/>
      <c r="E6" s="488" t="s">
        <v>187</v>
      </c>
      <c r="F6" s="488" t="s">
        <v>188</v>
      </c>
      <c r="G6" s="93" t="s">
        <v>187</v>
      </c>
      <c r="H6" s="504" t="s">
        <v>189</v>
      </c>
      <c r="I6" s="488" t="s">
        <v>190</v>
      </c>
      <c r="J6" s="488" t="s">
        <v>91</v>
      </c>
      <c r="K6" s="491" t="s">
        <v>92</v>
      </c>
      <c r="L6" s="62" t="s">
        <v>187</v>
      </c>
      <c r="M6" s="488" t="s">
        <v>191</v>
      </c>
      <c r="N6" s="488" t="s">
        <v>192</v>
      </c>
      <c r="O6" s="488" t="s">
        <v>193</v>
      </c>
      <c r="P6" s="488" t="s">
        <v>194</v>
      </c>
      <c r="Q6" s="488" t="s">
        <v>195</v>
      </c>
      <c r="R6" s="488" t="s">
        <v>196</v>
      </c>
      <c r="S6" s="488" t="s">
        <v>197</v>
      </c>
      <c r="T6" s="488" t="s">
        <v>198</v>
      </c>
      <c r="U6" s="488" t="s">
        <v>199</v>
      </c>
      <c r="V6" s="488" t="s">
        <v>200</v>
      </c>
      <c r="W6" s="488" t="s">
        <v>201</v>
      </c>
      <c r="X6" s="488" t="s">
        <v>202</v>
      </c>
      <c r="Y6" s="62" t="s">
        <v>82</v>
      </c>
      <c r="Z6" s="62" t="s">
        <v>203</v>
      </c>
      <c r="AA6" s="62" t="s">
        <v>204</v>
      </c>
      <c r="AB6" s="62" t="s">
        <v>205</v>
      </c>
      <c r="AC6" s="62" t="s">
        <v>206</v>
      </c>
    </row>
    <row r="7" ht="15.75">
      <c r="A7" s="489"/>
      <c r="B7" s="496"/>
      <c r="C7" s="497"/>
      <c r="D7" s="498"/>
      <c r="E7" s="489"/>
      <c r="F7" s="489"/>
      <c r="G7" s="94" t="s">
        <v>207</v>
      </c>
      <c r="H7" s="505"/>
      <c r="I7" s="489"/>
      <c r="J7" s="489"/>
      <c r="K7" s="492"/>
      <c r="L7" s="71" t="s">
        <v>207</v>
      </c>
      <c r="M7" s="489"/>
      <c r="N7" s="489"/>
      <c r="O7" s="489"/>
      <c r="P7" s="489"/>
      <c r="Q7" s="489"/>
      <c r="R7" s="489"/>
      <c r="S7" s="489"/>
      <c r="T7" s="489"/>
      <c r="U7" s="489"/>
      <c r="V7" s="489"/>
      <c r="W7" s="489"/>
      <c r="X7" s="489"/>
      <c r="Y7" s="71" t="s">
        <v>187</v>
      </c>
      <c r="Z7" s="71" t="s">
        <v>208</v>
      </c>
      <c r="AA7" s="71" t="s">
        <v>209</v>
      </c>
      <c r="AB7" s="71" t="s">
        <v>210</v>
      </c>
      <c r="AC7" s="71" t="s">
        <v>210</v>
      </c>
    </row>
    <row r="8" ht="15.75">
      <c r="A8" s="72"/>
      <c r="B8" s="73"/>
      <c r="C8" s="73"/>
      <c r="D8" s="73"/>
      <c r="E8" s="73"/>
      <c r="F8" s="73"/>
      <c r="G8" s="74"/>
      <c r="H8" s="73"/>
      <c r="I8" s="64"/>
      <c r="J8" s="64"/>
      <c r="K8" s="222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5"/>
      <c r="Z8" s="75"/>
      <c r="AA8" s="75"/>
      <c r="AB8" s="75"/>
      <c r="AC8" s="36"/>
    </row>
    <row r="9">
      <c r="A9" s="85" t="s">
        <v>103</v>
      </c>
      <c r="B9" s="46" t="s">
        <v>211</v>
      </c>
      <c r="C9" s="46"/>
      <c r="D9" s="46"/>
      <c r="E9" s="46" t="s">
        <v>170</v>
      </c>
      <c r="F9" s="121" t="s">
        <v>212</v>
      </c>
      <c r="G9" s="537" t="n">
        <f>_xlfn.XLOOKUP(A9,'Fondsdaten Auto'!$A$2:$A$9,'Fondsdaten Auto'!$C$2:$C$9)</f>
        <v>4.287</v>
      </c>
      <c r="H9" s="538" t="n">
        <f>_xlfn.XLOOKUP(A9,'Fondsdaten Auto'!$A$2:$A$9,'Fondsdaten Auto'!$D$2:$D$9)</f>
        <v>117.93</v>
      </c>
      <c r="I9" s="116" t="n">
        <f>Wachstumsstrategie!S29</f>
        <v>0</v>
      </c>
      <c r="J9" s="98" t="n">
        <f>Wachstumsstrategie!Q29-(Wachstumsstrategie!R29/'Dividendenermittlung im Bestand'!H9)</f>
        <v>0</v>
      </c>
      <c r="K9" s="223" t="n">
        <f>J9-(Dividendenstrategie!R29)</f>
        <v>0</v>
      </c>
      <c r="L9" s="88" t="n">
        <f>J9*G9</f>
        <v>0</v>
      </c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 t="n">
        <f>L9</f>
        <v>0</v>
      </c>
      <c r="Y9" s="88" t="n">
        <f>SUM(X9:X9)</f>
        <v>0</v>
      </c>
      <c r="Z9" s="88" t="n">
        <f>Y9-(Y9*30/100)</f>
        <v>0</v>
      </c>
      <c r="AA9" s="88" t="n">
        <f>Z9*26.375/100</f>
        <v>0</v>
      </c>
      <c r="AB9" s="88" t="n">
        <f>Y9-AA9</f>
        <v>0</v>
      </c>
      <c r="AC9" s="89"/>
    </row>
    <row r="10">
      <c r="A10" s="91"/>
      <c r="B10" s="65"/>
      <c r="C10" s="65"/>
      <c r="D10" s="65"/>
      <c r="E10" s="65"/>
      <c r="F10" s="122"/>
      <c r="G10" s="120"/>
      <c r="H10" s="215"/>
      <c r="I10" s="117"/>
      <c r="J10" s="99"/>
      <c r="K10" s="224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77"/>
    </row>
    <row r="11">
      <c r="A11" s="76" t="s">
        <v>107</v>
      </c>
      <c r="B11" s="47" t="s">
        <v>213</v>
      </c>
      <c r="C11" s="47"/>
      <c r="D11" s="47"/>
      <c r="E11" s="47" t="s">
        <v>170</v>
      </c>
      <c r="F11" s="122" t="s">
        <v>214</v>
      </c>
      <c r="G11" s="539" t="n">
        <f>_xlfn.XLOOKUP(A11,'Fondsdaten Auto'!$A$2:$A$9,'Fondsdaten Auto'!$C$2:$C$9)</f>
        <v>6.95</v>
      </c>
      <c r="H11" s="540" t="n">
        <f>_xlfn.XLOOKUP(A11,'Fondsdaten Auto'!$A$2:$A$9,'Fondsdaten Auto'!$D$2:$D$9)</f>
        <v>167.8</v>
      </c>
      <c r="I11" s="117" t="n">
        <f>Wachstumsstrategie!S31</f>
        <v>0</v>
      </c>
      <c r="J11" s="99" t="n">
        <f>Wachstumsstrategie!Q31-(Wachstumsstrategie!R31/'Dividendenermittlung im Bestand'!H11)</f>
        <v>0</v>
      </c>
      <c r="K11" s="224" t="n">
        <f>J11-(Wachstumsstrategie!R31/H11)</f>
        <v>0</v>
      </c>
      <c r="L11" s="9" t="n">
        <f t="shared" ref="L11:L21" si="0">J11*G11</f>
        <v>0</v>
      </c>
      <c r="M11" s="9"/>
      <c r="N11" s="9"/>
      <c r="O11" s="9" t="n">
        <f>L11</f>
        <v>0</v>
      </c>
      <c r="P11" s="9"/>
      <c r="Q11" s="9"/>
      <c r="R11" s="9"/>
      <c r="S11" s="9"/>
      <c r="T11" s="9"/>
      <c r="U11" s="9"/>
      <c r="V11" s="9"/>
      <c r="W11" s="9"/>
      <c r="X11" s="9"/>
      <c r="Y11" s="9" t="n">
        <f>SUM(O11:X11)</f>
        <v>0</v>
      </c>
      <c r="Z11" s="9" t="n">
        <f>Y11-(Y11*30/100)</f>
        <v>0</v>
      </c>
      <c r="AA11" s="9" t="n">
        <f>Z11*26.375/100</f>
        <v>0</v>
      </c>
      <c r="AB11" s="9" t="n">
        <f>Y11-AA11</f>
        <v>0</v>
      </c>
      <c r="AC11" s="77"/>
    </row>
    <row r="12">
      <c r="A12" s="91"/>
      <c r="B12" s="65"/>
      <c r="C12" s="65"/>
      <c r="D12" s="65"/>
      <c r="E12" s="65"/>
      <c r="F12" s="122"/>
      <c r="G12" s="120"/>
      <c r="H12" s="215"/>
      <c r="I12" s="117"/>
      <c r="J12" s="99"/>
      <c r="K12" s="224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77"/>
    </row>
    <row r="13">
      <c r="A13" s="78">
        <v>984811</v>
      </c>
      <c r="B13" s="47" t="s">
        <v>110</v>
      </c>
      <c r="C13" s="47"/>
      <c r="D13" s="47"/>
      <c r="E13" s="47" t="s">
        <v>170</v>
      </c>
      <c r="F13" s="122" t="s">
        <v>215</v>
      </c>
      <c r="G13" s="539" t="n">
        <f>_xlfn.XLOOKUP(A13,'Fondsdaten Auto'!$A$2:$A$9,'Fondsdaten Auto'!$C$2:$C$9)</f>
        <v>5.1</v>
      </c>
      <c r="H13" s="540" t="n">
        <f>_xlfn.XLOOKUP(A13,'Fondsdaten Auto'!$A$2:$A$9,'Fondsdaten Auto'!$D$2:$D$9)</f>
        <v>167.8</v>
      </c>
      <c r="I13" s="117" t="n">
        <f>Wachstumsstrategie!S33</f>
        <v>0</v>
      </c>
      <c r="J13" s="99" t="n">
        <f>Wachstumsstrategie!Q33-(Wachstumsstrategie!R33/'Dividendenermittlung im Bestand'!H13)</f>
        <v>0</v>
      </c>
      <c r="K13" s="224" t="n">
        <f>J13-(Wachstumsstrategie!R33/H13)</f>
        <v>0</v>
      </c>
      <c r="L13" s="9">
        <f t="shared" si="0"/>
        <v>0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 t="n">
        <f>L13</f>
        <v>0</v>
      </c>
      <c r="X13" s="9"/>
      <c r="Y13" s="9" t="n">
        <f>SUM(W13:X13)</f>
        <v>0</v>
      </c>
      <c r="Z13" s="9" t="n">
        <f>Y13-(Y13*30/100)</f>
        <v>0</v>
      </c>
      <c r="AA13" s="9" t="n">
        <f>Z13*26.375/100</f>
        <v>0</v>
      </c>
      <c r="AB13" s="9" t="n">
        <f>Y13-AA13</f>
        <v>0</v>
      </c>
      <c r="AC13" s="77"/>
    </row>
    <row r="14">
      <c r="A14" s="91"/>
      <c r="B14" s="65"/>
      <c r="C14" s="65"/>
      <c r="D14" s="65"/>
      <c r="E14" s="65"/>
      <c r="F14" s="122"/>
      <c r="G14" s="120"/>
      <c r="H14" s="215"/>
      <c r="I14" s="117"/>
      <c r="J14" s="99"/>
      <c r="K14" s="224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77"/>
    </row>
    <row r="15">
      <c r="A15" s="79" t="s">
        <v>113</v>
      </c>
      <c r="B15" s="48" t="s">
        <v>216</v>
      </c>
      <c r="C15" s="48"/>
      <c r="D15" s="48"/>
      <c r="E15" s="48" t="s">
        <v>171</v>
      </c>
      <c r="F15" s="122" t="s">
        <v>217</v>
      </c>
      <c r="G15" s="539" t="n">
        <f>_xlfn.XLOOKUP(A15,'Fondsdaten Auto'!$A$2:$A$9,'Fondsdaten Auto'!$C$2:$C$9)</f>
        <v>0.051</v>
      </c>
      <c r="H15" s="540" t="n">
        <f>_xlfn.XLOOKUP(A15,'Fondsdaten Auto'!$A$2:$A$9,'Fondsdaten Auto'!$D$2:$D$9)</f>
        <v>11.4</v>
      </c>
      <c r="I15" s="117" t="n">
        <f>Wachstumsstrategie!S35</f>
        <v>0</v>
      </c>
      <c r="J15" s="99" t="n">
        <f>Wachstumsstrategie!Q35-(Wachstumsstrategie!R35/'Dividendenermittlung im Bestand'!H15)</f>
        <v>0</v>
      </c>
      <c r="K15" s="224" t="n">
        <f>J15-(Wachstumsstrategie!R35/H15)</f>
        <v>0</v>
      </c>
      <c r="L15" s="9">
        <f t="shared" si="0"/>
        <v>0</v>
      </c>
      <c r="M15" s="9" t="n">
        <f>L15</f>
        <v>0</v>
      </c>
      <c r="N15" s="9" t="n">
        <f>L15</f>
        <v>0</v>
      </c>
      <c r="O15" s="9" t="n">
        <f>L15</f>
        <v>0</v>
      </c>
      <c r="P15" s="9" t="n">
        <f>L15</f>
        <v>0</v>
      </c>
      <c r="Q15" s="9" t="n">
        <f>L15</f>
        <v>0</v>
      </c>
      <c r="R15" s="9" t="n">
        <f>L15</f>
        <v>0</v>
      </c>
      <c r="S15" s="9" t="n">
        <f>L15</f>
        <v>0</v>
      </c>
      <c r="T15" s="9" t="n">
        <f>L15</f>
        <v>0</v>
      </c>
      <c r="U15" s="9" t="n">
        <f>L15</f>
        <v>0</v>
      </c>
      <c r="V15" s="9" t="n">
        <f>L15</f>
        <v>0</v>
      </c>
      <c r="W15" s="9" t="n">
        <f>L15</f>
        <v>0</v>
      </c>
      <c r="X15" s="9" t="n">
        <f>L15</f>
        <v>0</v>
      </c>
      <c r="Y15" s="9" t="n">
        <f>SUM(M15:X15)</f>
        <v>0</v>
      </c>
      <c r="Z15" s="9" t="n">
        <f>Y15-(Y15*30/100)</f>
        <v>0</v>
      </c>
      <c r="AA15" s="9" t="n">
        <f>Z15*26.375/100</f>
        <v>0</v>
      </c>
      <c r="AB15" s="9" t="n">
        <f>Y15-AA15</f>
        <v>0</v>
      </c>
      <c r="AC15" s="77" t="n">
        <f>AB15/12</f>
        <v>0</v>
      </c>
    </row>
    <row r="16">
      <c r="A16" s="91"/>
      <c r="B16" s="65"/>
      <c r="C16" s="65"/>
      <c r="D16" s="65"/>
      <c r="E16" s="65"/>
      <c r="F16" s="122"/>
      <c r="G16" s="120"/>
      <c r="H16" s="215"/>
      <c r="I16" s="117"/>
      <c r="J16" s="99"/>
      <c r="K16" s="224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77"/>
    </row>
    <row r="17">
      <c r="A17" s="79" t="s">
        <v>117</v>
      </c>
      <c r="B17" s="48" t="s">
        <v>218</v>
      </c>
      <c r="C17" s="48"/>
      <c r="D17" s="48"/>
      <c r="E17" s="48" t="s">
        <v>171</v>
      </c>
      <c r="F17" s="122" t="s">
        <v>217</v>
      </c>
      <c r="G17" s="539" t="n">
        <f>_xlfn.XLOOKUP(A17,'Fondsdaten Auto'!$A$2:$A$9,'Fondsdaten Auto'!$C$2:$C$9)</f>
        <v>0.586</v>
      </c>
      <c r="H17" s="540" t="n">
        <f>_xlfn.XLOOKUP(A17,'Fondsdaten Auto'!$A$2:$A$9,'Fondsdaten Auto'!$D$2:$D$9)</f>
        <v>117.42</v>
      </c>
      <c r="I17" s="117" t="n">
        <f>Wachstumsstrategie!S37</f>
        <v>0</v>
      </c>
      <c r="J17" s="99" t="n">
        <f>Wachstumsstrategie!Q37-(Wachstumsstrategie!R37/'Dividendenermittlung im Bestand'!H17)</f>
        <v>0</v>
      </c>
      <c r="K17" s="224" t="n">
        <f>J17-(Wachstumsstrategie!R37/H17)</f>
        <v>0</v>
      </c>
      <c r="L17" s="9">
        <f t="shared" si="0"/>
        <v>0</v>
      </c>
      <c r="M17" s="9" t="n">
        <f>L17</f>
        <v>0</v>
      </c>
      <c r="N17" s="9" t="n">
        <f>M17</f>
        <v>0</v>
      </c>
      <c r="O17" s="9" t="n">
        <f>M17</f>
        <v>0</v>
      </c>
      <c r="P17" s="9" t="n">
        <f>M17</f>
        <v>0</v>
      </c>
      <c r="Q17" s="9" t="n">
        <f>M17</f>
        <v>0</v>
      </c>
      <c r="R17" s="9" t="n">
        <f>M17</f>
        <v>0</v>
      </c>
      <c r="S17" s="9" t="n">
        <f>M17</f>
        <v>0</v>
      </c>
      <c r="T17" s="9" t="n">
        <f>M17</f>
        <v>0</v>
      </c>
      <c r="U17" s="9" t="n">
        <f>M17</f>
        <v>0</v>
      </c>
      <c r="V17" s="9" t="n">
        <f>M17</f>
        <v>0</v>
      </c>
      <c r="W17" s="9" t="n">
        <f>M17</f>
        <v>0</v>
      </c>
      <c r="X17" s="9" t="n">
        <f>M17</f>
        <v>0</v>
      </c>
      <c r="Y17" s="9" t="n">
        <f>SUM(M17:X17)</f>
        <v>0</v>
      </c>
      <c r="Z17" s="9" t="n">
        <f>Y17-(Y17*30/100)</f>
        <v>0</v>
      </c>
      <c r="AA17" s="9" t="n">
        <f>Z17*26.375/100</f>
        <v>0</v>
      </c>
      <c r="AB17" s="9" t="n">
        <f>Y17-AA17</f>
        <v>0</v>
      </c>
      <c r="AC17" s="77" t="n">
        <f>AB17/12</f>
        <v>0</v>
      </c>
    </row>
    <row r="18">
      <c r="A18" s="91"/>
      <c r="B18" s="65"/>
      <c r="C18" s="65"/>
      <c r="D18" s="65"/>
      <c r="E18" s="65"/>
      <c r="F18" s="122"/>
      <c r="G18" s="120"/>
      <c r="H18" s="215"/>
      <c r="I18" s="117"/>
      <c r="J18" s="99"/>
      <c r="K18" s="224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77"/>
    </row>
    <row r="19">
      <c r="A19" s="79" t="s">
        <v>121</v>
      </c>
      <c r="B19" s="490" t="s">
        <v>120</v>
      </c>
      <c r="C19" s="490"/>
      <c r="D19" s="490"/>
      <c r="E19" s="48" t="s">
        <v>171</v>
      </c>
      <c r="F19" s="122" t="s">
        <v>219</v>
      </c>
      <c r="G19" s="539" t="n">
        <f>_xlfn.XLOOKUP(A19,'Fondsdaten Auto'!$A$2:$A$9,'Fondsdaten Auto'!$C$2:$C$9)</f>
        <v>0.416</v>
      </c>
      <c r="H19" s="540" t="n">
        <f>_xlfn.XLOOKUP(A19,'Fondsdaten Auto'!$A$2:$A$9,'Fondsdaten Auto'!$D$2:$D$9)</f>
        <v>100.63</v>
      </c>
      <c r="I19" s="117" t="n">
        <f>Wachstumsstrategie!S39</f>
        <v>0</v>
      </c>
      <c r="J19" s="99" t="n">
        <f>Wachstumsstrategie!Q39-(Wachstumsstrategie!R39/'Dividendenermittlung im Bestand'!H19)</f>
        <v>0</v>
      </c>
      <c r="K19" s="224" t="n">
        <f>J19-(Wachstumsstrategie!R39/H19)</f>
        <v>0</v>
      </c>
      <c r="L19" s="9">
        <f t="shared" si="0"/>
        <v>0</v>
      </c>
      <c r="M19" s="9" t="n">
        <f t="shared" ref="M19:X19" si="1">L19</f>
        <v>0</v>
      </c>
      <c r="N19" s="9">
        <f t="shared" si="1"/>
        <v>0</v>
      </c>
      <c r="O19" s="9">
        <f t="shared" si="1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>
        <f t="shared" si="1"/>
        <v>0</v>
      </c>
      <c r="T19" s="9">
        <f t="shared" si="1"/>
        <v>0</v>
      </c>
      <c r="U19" s="9">
        <f t="shared" si="1"/>
        <v>0</v>
      </c>
      <c r="V19" s="9">
        <f t="shared" si="1"/>
        <v>0</v>
      </c>
      <c r="W19" s="9">
        <f t="shared" si="1"/>
        <v>0</v>
      </c>
      <c r="X19" s="9">
        <f t="shared" si="1"/>
        <v>0</v>
      </c>
      <c r="Y19" s="9" t="n">
        <f>SUM(M19:X19)</f>
        <v>0</v>
      </c>
      <c r="Z19" s="9" t="n">
        <f>Y19-(Y19*15/100)</f>
        <v>0</v>
      </c>
      <c r="AA19" s="9" t="n">
        <f t="shared" ref="AA19" si="2">Z19*26.375/100</f>
        <v>0</v>
      </c>
      <c r="AB19" s="9" t="n">
        <f t="shared" ref="AB19" si="3">Y19-AA19</f>
        <v>0</v>
      </c>
      <c r="AC19" s="77" t="n">
        <f t="shared" ref="AC19" si="4">AB19/12</f>
        <v>0</v>
      </c>
    </row>
    <row r="20">
      <c r="A20" s="91"/>
      <c r="B20" s="65"/>
      <c r="C20" s="65"/>
      <c r="D20" s="65"/>
      <c r="E20" s="65"/>
      <c r="F20" s="122"/>
      <c r="G20" s="120"/>
      <c r="H20" s="215"/>
      <c r="I20" s="117"/>
      <c r="J20" s="99"/>
      <c r="K20" s="224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77"/>
    </row>
    <row r="21">
      <c r="A21" s="79" t="s">
        <v>125</v>
      </c>
      <c r="B21" s="48" t="s">
        <v>220</v>
      </c>
      <c r="C21" s="48"/>
      <c r="D21" s="48"/>
      <c r="E21" s="48" t="s">
        <v>171</v>
      </c>
      <c r="F21" s="122" t="s">
        <v>217</v>
      </c>
      <c r="G21" s="539" t="n">
        <f>_xlfn.XLOOKUP(A21,'Fondsdaten Auto'!$A$2:$A$9,'Fondsdaten Auto'!$C$2:$C$9)</f>
        <v>0.066</v>
      </c>
      <c r="H21" s="540" t="n">
        <f>_xlfn.XLOOKUP(A21,'Fondsdaten Auto'!$A$2:$A$9,'Fondsdaten Auto'!$D$2:$D$9)</f>
        <v>10.084</v>
      </c>
      <c r="I21" s="117" t="n">
        <f>Wachstumsstrategie!S41</f>
        <v>0</v>
      </c>
      <c r="J21" s="99" t="n">
        <f>Wachstumsstrategie!Q41-(Wachstumsstrategie!R41/'Dividendenermittlung im Bestand'!H21)</f>
        <v>0</v>
      </c>
      <c r="K21" s="224" t="n">
        <f>J21-(Wachstumsstrategie!R41/H21)</f>
        <v>0</v>
      </c>
      <c r="L21" s="9">
        <f t="shared" si="0"/>
        <v>0</v>
      </c>
      <c r="M21" s="9" t="n">
        <f>L21</f>
        <v>0</v>
      </c>
      <c r="N21" s="9" t="n">
        <f>L21</f>
        <v>0</v>
      </c>
      <c r="O21" s="9" t="n">
        <f>M21</f>
        <v>0</v>
      </c>
      <c r="P21" s="9" t="n">
        <f>M21</f>
        <v>0</v>
      </c>
      <c r="Q21" s="9" t="n">
        <f>M21</f>
        <v>0</v>
      </c>
      <c r="R21" s="9" t="n">
        <f>M21</f>
        <v>0</v>
      </c>
      <c r="S21" s="9" t="n">
        <f>M21</f>
        <v>0</v>
      </c>
      <c r="T21" s="9" t="n">
        <f>M21</f>
        <v>0</v>
      </c>
      <c r="U21" s="9" t="n">
        <f>M21</f>
        <v>0</v>
      </c>
      <c r="V21" s="9" t="n">
        <f>M21</f>
        <v>0</v>
      </c>
      <c r="W21" s="9" t="n">
        <f>M21</f>
        <v>0</v>
      </c>
      <c r="X21" s="9" t="n">
        <f>M21</f>
        <v>0</v>
      </c>
      <c r="Y21" s="9" t="n">
        <f>SUM(M21:X21)</f>
        <v>0</v>
      </c>
      <c r="Z21" s="9" t="n">
        <f t="shared" ref="Z21" si="5">Y21-(Y21*15/100)</f>
        <v>0</v>
      </c>
      <c r="AA21" s="9" t="n">
        <f>Z21*26.375/100</f>
        <v>0</v>
      </c>
      <c r="AB21" s="9" t="n">
        <f>Y21-AA21</f>
        <v>0</v>
      </c>
      <c r="AC21" s="77" t="n">
        <f>AB21/12</f>
        <v>0</v>
      </c>
    </row>
    <row r="22">
      <c r="A22" s="91"/>
      <c r="B22" s="65"/>
      <c r="C22" s="65"/>
      <c r="D22" s="65"/>
      <c r="E22" s="65"/>
      <c r="F22" s="122"/>
      <c r="G22" s="120"/>
      <c r="H22" s="215"/>
      <c r="I22" s="117"/>
      <c r="J22" s="99"/>
      <c r="K22" s="224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77"/>
    </row>
    <row r="23" ht="15.75">
      <c r="A23" s="80" t="s">
        <v>129</v>
      </c>
      <c r="B23" s="49" t="s">
        <v>221</v>
      </c>
      <c r="C23" s="49"/>
      <c r="D23" s="49"/>
      <c r="E23" s="49" t="s">
        <v>171</v>
      </c>
      <c r="F23" s="123" t="s">
        <v>222</v>
      </c>
      <c r="G23" s="541" t="n">
        <f>_xlfn.XLOOKUP(A23,'Fondsdaten Auto'!$A$2:$A$9,'Fondsdaten Auto'!$C$2:$C$9)</f>
        <v>0.548</v>
      </c>
      <c r="H23" s="542" t="n">
        <f>_xlfn.XLOOKUP(A23,'Fondsdaten Auto'!$A$2:$A$9,'Fondsdaten Auto'!$D$2:$D$9)</f>
        <v>108.58</v>
      </c>
      <c r="I23" s="118" t="n">
        <f>Wachstumsstrategie!S43</f>
        <v>0</v>
      </c>
      <c r="J23" s="100" t="n">
        <f>Wachstumsstrategie!Q43-(Wachstumsstrategie!R43/'Dividendenermittlung im Bestand'!H23)</f>
        <v>0</v>
      </c>
      <c r="K23" s="225" t="n">
        <f>J23-(Wachstumsstrategie!R43/H23)</f>
        <v>0</v>
      </c>
      <c r="L23" s="83" t="n">
        <f>J23*G23</f>
        <v>0</v>
      </c>
      <c r="M23" s="83" t="n">
        <f>L23</f>
        <v>0</v>
      </c>
      <c r="N23" s="83" t="n">
        <f>M23</f>
        <v>0</v>
      </c>
      <c r="O23" s="83" t="n">
        <f>M23</f>
        <v>0</v>
      </c>
      <c r="P23" s="83" t="n">
        <f>M23</f>
        <v>0</v>
      </c>
      <c r="Q23" s="83" t="n">
        <f>M23</f>
        <v>0</v>
      </c>
      <c r="R23" s="83" t="n">
        <f>M23</f>
        <v>0</v>
      </c>
      <c r="S23" s="83" t="n">
        <f>M23</f>
        <v>0</v>
      </c>
      <c r="T23" s="83" t="n">
        <f>M23</f>
        <v>0</v>
      </c>
      <c r="U23" s="83" t="n">
        <f>M23</f>
        <v>0</v>
      </c>
      <c r="V23" s="83" t="n">
        <f>M23</f>
        <v>0</v>
      </c>
      <c r="W23" s="83" t="n">
        <f>M23</f>
        <v>0</v>
      </c>
      <c r="X23" s="83" t="n">
        <f>M23</f>
        <v>0</v>
      </c>
      <c r="Y23" s="83" t="n">
        <f>SUM(M23:X23)</f>
        <v>0</v>
      </c>
      <c r="Z23" s="83" t="n">
        <f>Y23-(Y23*30/100)</f>
        <v>0</v>
      </c>
      <c r="AA23" s="83" t="n">
        <f t="shared" ref="AA23" si="6">Z23*26.375/100</f>
        <v>0</v>
      </c>
      <c r="AB23" s="83" t="n">
        <f t="shared" ref="AB23" si="7">Y23-AA23</f>
        <v>0</v>
      </c>
      <c r="AC23" s="84" t="n">
        <f t="shared" ref="AC23" si="8">AB23/12</f>
        <v>0</v>
      </c>
    </row>
    <row r="24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Z24" s="22"/>
      <c r="AA24" s="22"/>
      <c r="AB24" s="22"/>
      <c r="AC24" s="22"/>
    </row>
    <row r="25" s="127" customFormat="1" ht="20.100000381469727" customHeight="1">
      <c r="C25" s="127" t="s">
        <v>1</v>
      </c>
      <c r="D25" s="127" t="s">
        <v>223</v>
      </c>
      <c r="G25" s="128"/>
      <c r="I25" s="129"/>
      <c r="J25" s="129"/>
      <c r="K25" s="226"/>
    </row>
    <row r="26" s="127" customFormat="1" ht="20.100000381469727" customHeight="1">
      <c r="C26" s="127" t="s">
        <v>3</v>
      </c>
      <c r="D26" s="127" t="s">
        <v>224</v>
      </c>
      <c r="G26" s="128"/>
      <c r="H26" s="509" t="s">
        <v>225</v>
      </c>
      <c r="I26" s="510"/>
      <c r="J26" s="511" t="str">
        <v>Automatische Fondsdaten: Aktualisierung beim Öffnen aktiviert</v>
      </c>
      <c r="K26" s="506" t="s">
        <v>226</v>
      </c>
      <c r="L26" s="507"/>
      <c r="M26" s="508"/>
    </row>
    <row r="27"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2"/>
      <c r="Z27" s="22"/>
      <c r="AA27" s="22"/>
      <c r="AB27" s="22"/>
      <c r="AC27" s="22"/>
    </row>
    <row r="28">
      <c r="J28" s="61" t="s">
        <v>227</v>
      </c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2"/>
      <c r="AA28" s="22"/>
      <c r="AB28" s="22"/>
      <c r="AC28" s="22"/>
    </row>
    <row r="31" ht="26.25">
      <c r="D31" s="102" t="s">
        <v>228</v>
      </c>
    </row>
    <row r="32" ht="15.75"/>
    <row r="33">
      <c r="A33" s="488" t="s">
        <v>86</v>
      </c>
      <c r="B33" s="493" t="s">
        <v>186</v>
      </c>
      <c r="C33" s="494"/>
      <c r="D33" s="495"/>
      <c r="E33" s="488" t="s">
        <v>187</v>
      </c>
      <c r="F33" s="488" t="s">
        <v>188</v>
      </c>
      <c r="G33" s="68" t="s">
        <v>187</v>
      </c>
      <c r="H33" s="488" t="s">
        <v>189</v>
      </c>
      <c r="I33" s="488" t="s">
        <v>190</v>
      </c>
      <c r="J33" s="488" t="s">
        <v>91</v>
      </c>
      <c r="K33" s="491" t="s">
        <v>92</v>
      </c>
      <c r="L33" s="62" t="s">
        <v>187</v>
      </c>
      <c r="M33" s="488" t="s">
        <v>191</v>
      </c>
      <c r="N33" s="488" t="s">
        <v>192</v>
      </c>
      <c r="O33" s="488" t="s">
        <v>193</v>
      </c>
      <c r="P33" s="488" t="s">
        <v>194</v>
      </c>
      <c r="Q33" s="488" t="s">
        <v>195</v>
      </c>
      <c r="R33" s="488" t="s">
        <v>196</v>
      </c>
      <c r="S33" s="488" t="s">
        <v>197</v>
      </c>
      <c r="T33" s="488" t="s">
        <v>198</v>
      </c>
      <c r="U33" s="488" t="s">
        <v>199</v>
      </c>
      <c r="V33" s="488" t="s">
        <v>200</v>
      </c>
      <c r="W33" s="488" t="s">
        <v>201</v>
      </c>
      <c r="X33" s="488" t="s">
        <v>202</v>
      </c>
      <c r="Y33" s="62" t="s">
        <v>82</v>
      </c>
      <c r="Z33" s="62" t="s">
        <v>203</v>
      </c>
      <c r="AA33" s="62" t="s">
        <v>204</v>
      </c>
      <c r="AB33" s="62" t="s">
        <v>205</v>
      </c>
      <c r="AC33" s="62" t="s">
        <v>206</v>
      </c>
    </row>
    <row r="34" ht="15.75">
      <c r="A34" s="489"/>
      <c r="B34" s="496"/>
      <c r="C34" s="497"/>
      <c r="D34" s="498"/>
      <c r="E34" s="489"/>
      <c r="F34" s="489"/>
      <c r="G34" s="103" t="s">
        <v>207</v>
      </c>
      <c r="H34" s="489"/>
      <c r="I34" s="489"/>
      <c r="J34" s="489"/>
      <c r="K34" s="492"/>
      <c r="L34" s="71" t="s">
        <v>207</v>
      </c>
      <c r="M34" s="489"/>
      <c r="N34" s="489"/>
      <c r="O34" s="489"/>
      <c r="P34" s="489"/>
      <c r="Q34" s="489"/>
      <c r="R34" s="489"/>
      <c r="S34" s="489"/>
      <c r="T34" s="489"/>
      <c r="U34" s="489"/>
      <c r="V34" s="489"/>
      <c r="W34" s="489"/>
      <c r="X34" s="489"/>
      <c r="Y34" s="71" t="s">
        <v>187</v>
      </c>
      <c r="Z34" s="71" t="s">
        <v>208</v>
      </c>
      <c r="AA34" s="71" t="s">
        <v>209</v>
      </c>
      <c r="AB34" s="71" t="s">
        <v>210</v>
      </c>
      <c r="AC34" s="71" t="s">
        <v>210</v>
      </c>
    </row>
    <row r="35" ht="15.75">
      <c r="A35" s="72"/>
      <c r="B35" s="73"/>
      <c r="C35" s="73"/>
      <c r="D35" s="73"/>
      <c r="E35" s="73"/>
      <c r="F35" s="73"/>
      <c r="G35" s="74"/>
      <c r="H35" s="73"/>
      <c r="I35" s="64"/>
      <c r="J35" s="64"/>
      <c r="K35" s="222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5"/>
      <c r="Z35" s="75"/>
      <c r="AA35" s="75"/>
      <c r="AB35" s="75"/>
      <c r="AC35" s="36"/>
    </row>
    <row r="36">
      <c r="A36" s="85" t="s">
        <v>103</v>
      </c>
      <c r="B36" s="46" t="s">
        <v>211</v>
      </c>
      <c r="C36" s="46"/>
      <c r="D36" s="46"/>
      <c r="E36" s="46" t="s">
        <v>170</v>
      </c>
      <c r="F36" s="86" t="s">
        <v>212</v>
      </c>
      <c r="G36" s="543" t="n">
        <f>_xlfn.XLOOKUP(A36,'Fondsdaten Auto'!$A$2:$A$9,'Fondsdaten Auto'!$C$2:$C$9)</f>
        <v>4.287</v>
      </c>
      <c r="H36" s="544" t="n">
        <f>_xlfn.XLOOKUP(A36,'Fondsdaten Auto'!$A$2:$A$9,'Fondsdaten Auto'!$D$2:$D$9)</f>
        <v>117.93</v>
      </c>
      <c r="I36" s="87" t="n">
        <f>Dividendenstrategie!S29</f>
        <v>0</v>
      </c>
      <c r="J36" s="98" t="n">
        <f>Dividendenstrategie!Q29-(Dividendenstrategie!R29/'Dividendenermittlung im Bestand'!H9)</f>
        <v>0</v>
      </c>
      <c r="K36" s="223" t="n">
        <f>J9-(Dividendenstrategie!R29/H9)</f>
        <v>0</v>
      </c>
      <c r="L36" s="88" t="n">
        <f>J36*G36</f>
        <v>0</v>
      </c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 t="n">
        <f>L36</f>
        <v>0</v>
      </c>
      <c r="Y36" s="88" t="n">
        <f>SUM(X36:X36)</f>
        <v>0</v>
      </c>
      <c r="Z36" s="88" t="n">
        <f>Y36-(Y36*30/100)</f>
        <v>0</v>
      </c>
      <c r="AA36" s="88" t="n">
        <f>Z36*26.375/100</f>
        <v>0</v>
      </c>
      <c r="AB36" s="88" t="n">
        <f>Y36-AA36</f>
        <v>0</v>
      </c>
      <c r="AC36" s="89"/>
    </row>
    <row r="37">
      <c r="A37" s="91"/>
      <c r="B37" s="65"/>
      <c r="C37" s="65"/>
      <c r="D37" s="65"/>
      <c r="E37" s="65"/>
      <c r="F37" s="65"/>
      <c r="G37" s="66"/>
      <c r="H37" s="219"/>
      <c r="I37" s="67"/>
      <c r="J37" s="99"/>
      <c r="K37" s="224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77"/>
    </row>
    <row r="38">
      <c r="A38" s="76" t="s">
        <v>107</v>
      </c>
      <c r="B38" s="47" t="s">
        <v>213</v>
      </c>
      <c r="C38" s="47"/>
      <c r="D38" s="47"/>
      <c r="E38" s="47" t="s">
        <v>170</v>
      </c>
      <c r="F38" s="65" t="s">
        <v>214</v>
      </c>
      <c r="G38" s="545" t="n">
        <f>_xlfn.XLOOKUP(A38,'Fondsdaten Auto'!$A$2:$A$9,'Fondsdaten Auto'!$C$2:$C$9)</f>
        <v>6.95</v>
      </c>
      <c r="H38" s="546" t="n">
        <f>_xlfn.XLOOKUP(A38,'Fondsdaten Auto'!$A$2:$A$9,'Fondsdaten Auto'!$D$2:$D$9)</f>
        <v>167.8</v>
      </c>
      <c r="I38" s="67" t="n">
        <f>Dividendenstrategie!S31</f>
        <v>0</v>
      </c>
      <c r="J38" s="99" t="n">
        <f>Dividendenstrategie!Q31-(Dividendenstrategie!R31/'Dividendenermittlung im Bestand'!H11)</f>
        <v>0</v>
      </c>
      <c r="K38" s="224" t="n">
        <f>J11-(Dividendenstrategie!R31/H11)</f>
        <v>0</v>
      </c>
      <c r="L38" s="9" t="n">
        <f t="shared" ref="L38" si="11">J38*G38</f>
        <v>0</v>
      </c>
      <c r="M38" s="9"/>
      <c r="N38" s="9"/>
      <c r="O38" s="9" t="n">
        <f>L38</f>
        <v>0</v>
      </c>
      <c r="P38" s="9"/>
      <c r="Q38" s="9"/>
      <c r="R38" s="9"/>
      <c r="S38" s="9"/>
      <c r="T38" s="9"/>
      <c r="U38" s="9"/>
      <c r="V38" s="9"/>
      <c r="W38" s="9"/>
      <c r="X38" s="9"/>
      <c r="Y38" s="9" t="n">
        <f>SUM(O38:X38)</f>
        <v>0</v>
      </c>
      <c r="Z38" s="9" t="n">
        <f>Y38-(Y38*30/100)</f>
        <v>0</v>
      </c>
      <c r="AA38" s="9" t="n">
        <f>Z38*26.375/100</f>
        <v>0</v>
      </c>
      <c r="AB38" s="9" t="n">
        <f>Y38-AA38</f>
        <v>0</v>
      </c>
      <c r="AC38" s="77"/>
    </row>
    <row r="39">
      <c r="A39" s="91"/>
      <c r="B39" s="65"/>
      <c r="C39" s="65"/>
      <c r="D39" s="65"/>
      <c r="E39" s="65"/>
      <c r="F39" s="65"/>
      <c r="G39" s="66"/>
      <c r="H39" s="219"/>
      <c r="I39" s="67"/>
      <c r="J39" s="99"/>
      <c r="K39" s="224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77"/>
    </row>
    <row r="40">
      <c r="A40" s="78">
        <v>984811</v>
      </c>
      <c r="B40" s="47" t="s">
        <v>110</v>
      </c>
      <c r="C40" s="47"/>
      <c r="D40" s="47"/>
      <c r="E40" s="47" t="s">
        <v>170</v>
      </c>
      <c r="F40" s="65" t="s">
        <v>215</v>
      </c>
      <c r="G40" s="545" t="n">
        <f>_xlfn.XLOOKUP(A40,'Fondsdaten Auto'!$A$2:$A$9,'Fondsdaten Auto'!$C$2:$C$9)</f>
        <v>5.1</v>
      </c>
      <c r="H40" s="546" t="n">
        <f>_xlfn.XLOOKUP(A40,'Fondsdaten Auto'!$A$2:$A$9,'Fondsdaten Auto'!$D$2:$D$9)</f>
        <v>167.8</v>
      </c>
      <c r="I40" s="67" t="n">
        <f>Dividendenstrategie!S33</f>
        <v>0</v>
      </c>
      <c r="J40" s="99" t="n">
        <f>Dividendenstrategie!Q33-(Dividendenstrategie!R33/'Dividendenermittlung im Bestand'!H13)</f>
        <v>0</v>
      </c>
      <c r="K40" s="224" t="n">
        <f>J13-(Dividendenstrategie!R33/H13)</f>
        <v>0</v>
      </c>
      <c r="L40" s="9" t="n">
        <f t="shared" ref="L40" si="12">J40*G40</f>
        <v>0</v>
      </c>
      <c r="M40" s="9"/>
      <c r="N40" s="9"/>
      <c r="O40" s="9"/>
      <c r="P40" s="9"/>
      <c r="Q40" s="9"/>
      <c r="R40" s="9"/>
      <c r="S40" s="9"/>
      <c r="T40" s="9"/>
      <c r="U40" s="9"/>
      <c r="V40" s="9"/>
      <c r="W40" s="9" t="n">
        <f>L40</f>
        <v>0</v>
      </c>
      <c r="X40" s="9"/>
      <c r="Y40" s="9" t="n">
        <f>SUM(W40:X40)</f>
        <v>0</v>
      </c>
      <c r="Z40" s="9" t="n">
        <f>Y40-(Y40*30/100)</f>
        <v>0</v>
      </c>
      <c r="AA40" s="9" t="n">
        <f>Z40*26.375/100</f>
        <v>0</v>
      </c>
      <c r="AB40" s="9" t="n">
        <f>Y40-AA40</f>
        <v>0</v>
      </c>
      <c r="AC40" s="77"/>
    </row>
    <row r="41">
      <c r="A41" s="91"/>
      <c r="B41" s="65"/>
      <c r="C41" s="65"/>
      <c r="D41" s="65"/>
      <c r="E41" s="65"/>
      <c r="F41" s="65"/>
      <c r="G41" s="66"/>
      <c r="H41" s="219"/>
      <c r="I41" s="67"/>
      <c r="J41" s="99"/>
      <c r="K41" s="224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77"/>
    </row>
    <row r="42">
      <c r="A42" s="79" t="s">
        <v>113</v>
      </c>
      <c r="B42" s="48" t="s">
        <v>216</v>
      </c>
      <c r="C42" s="48"/>
      <c r="D42" s="48"/>
      <c r="E42" s="48" t="s">
        <v>171</v>
      </c>
      <c r="F42" s="65" t="s">
        <v>217</v>
      </c>
      <c r="G42" s="545" t="n">
        <f>_xlfn.XLOOKUP(A42,'Fondsdaten Auto'!$A$2:$A$9,'Fondsdaten Auto'!$C$2:$C$9)</f>
        <v>0.051</v>
      </c>
      <c r="H42" s="546" t="n">
        <f>_xlfn.XLOOKUP(A42,'Fondsdaten Auto'!$A$2:$A$9,'Fondsdaten Auto'!$D$2:$D$9)</f>
        <v>11.4</v>
      </c>
      <c r="I42" s="67" t="n">
        <f>Dividendenstrategie!S35</f>
        <v>0</v>
      </c>
      <c r="J42" s="99" t="n">
        <f>Dividendenstrategie!Q35-(Dividendenstrategie!R35/'Dividendenermittlung im Bestand'!H15)</f>
        <v>0</v>
      </c>
      <c r="K42" s="224" t="n">
        <f>J15-(Dividendenstrategie!R35/H15)</f>
        <v>0</v>
      </c>
      <c r="L42" s="9" t="n">
        <f t="shared" ref="L42" si="13">J42*G42</f>
        <v>0</v>
      </c>
      <c r="M42" s="9" t="n">
        <f>L42</f>
        <v>0</v>
      </c>
      <c r="N42" s="9" t="n">
        <f>L42</f>
        <v>0</v>
      </c>
      <c r="O42" s="9" t="n">
        <f>L42</f>
        <v>0</v>
      </c>
      <c r="P42" s="9" t="n">
        <f>L42</f>
        <v>0</v>
      </c>
      <c r="Q42" s="9" t="n">
        <f>L42</f>
        <v>0</v>
      </c>
      <c r="R42" s="9" t="n">
        <f>L42</f>
        <v>0</v>
      </c>
      <c r="S42" s="9" t="n">
        <f>L42</f>
        <v>0</v>
      </c>
      <c r="T42" s="9" t="n">
        <f>L42</f>
        <v>0</v>
      </c>
      <c r="U42" s="9" t="n">
        <f>L42</f>
        <v>0</v>
      </c>
      <c r="V42" s="9" t="n">
        <f>L42</f>
        <v>0</v>
      </c>
      <c r="W42" s="9" t="n">
        <f>L42</f>
        <v>0</v>
      </c>
      <c r="X42" s="9" t="n">
        <f>L42</f>
        <v>0</v>
      </c>
      <c r="Y42" s="9" t="n">
        <f>SUM(M42:X42)</f>
        <v>0</v>
      </c>
      <c r="Z42" s="9" t="n">
        <f>Y42-(Y42*30/100)</f>
        <v>0</v>
      </c>
      <c r="AA42" s="9" t="n">
        <f>Z42*26.375/100</f>
        <v>0</v>
      </c>
      <c r="AB42" s="9" t="n">
        <f>Y42-AA42</f>
        <v>0</v>
      </c>
      <c r="AC42" s="77" t="n">
        <f>AB42/12</f>
        <v>0</v>
      </c>
    </row>
    <row r="43">
      <c r="A43" s="91"/>
      <c r="B43" s="65"/>
      <c r="C43" s="65"/>
      <c r="D43" s="65"/>
      <c r="E43" s="65"/>
      <c r="F43" s="65"/>
      <c r="G43" s="66"/>
      <c r="H43" s="219"/>
      <c r="I43" s="67"/>
      <c r="J43" s="99"/>
      <c r="K43" s="224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77"/>
    </row>
    <row r="44">
      <c r="A44" s="79" t="s">
        <v>117</v>
      </c>
      <c r="B44" s="48" t="s">
        <v>218</v>
      </c>
      <c r="C44" s="48"/>
      <c r="D44" s="48"/>
      <c r="E44" s="48" t="s">
        <v>171</v>
      </c>
      <c r="F44" s="65" t="s">
        <v>217</v>
      </c>
      <c r="G44" s="545" t="n">
        <f>_xlfn.XLOOKUP(A44,'Fondsdaten Auto'!$A$2:$A$9,'Fondsdaten Auto'!$C$2:$C$9)</f>
        <v>0.586</v>
      </c>
      <c r="H44" s="546" t="n">
        <f>_xlfn.XLOOKUP(A44,'Fondsdaten Auto'!$A$2:$A$9,'Fondsdaten Auto'!$D$2:$D$9)</f>
        <v>117.42</v>
      </c>
      <c r="I44" s="67" t="n">
        <f>Dividendenstrategie!S37</f>
        <v>0</v>
      </c>
      <c r="J44" s="99" t="n">
        <f>Dividendenstrategie!Q37-(Dividendenstrategie!R37/'Dividendenermittlung im Bestand'!H17)</f>
        <v>0</v>
      </c>
      <c r="K44" s="224" t="n">
        <f>J17-(Dividendenstrategie!R37/H17)</f>
        <v>0</v>
      </c>
      <c r="L44" s="9" t="n">
        <f t="shared" ref="L44" si="14">J44*G44</f>
        <v>0</v>
      </c>
      <c r="M44" s="9" t="n">
        <f>L44</f>
        <v>0</v>
      </c>
      <c r="N44" s="9" t="n">
        <f>M44</f>
        <v>0</v>
      </c>
      <c r="O44" s="9" t="n">
        <f>M44</f>
        <v>0</v>
      </c>
      <c r="P44" s="9" t="n">
        <f>M44</f>
        <v>0</v>
      </c>
      <c r="Q44" s="9" t="n">
        <f>M44</f>
        <v>0</v>
      </c>
      <c r="R44" s="9" t="n">
        <f>M44</f>
        <v>0</v>
      </c>
      <c r="S44" s="9" t="n">
        <f>M44</f>
        <v>0</v>
      </c>
      <c r="T44" s="9" t="n">
        <f>M44</f>
        <v>0</v>
      </c>
      <c r="U44" s="9" t="n">
        <f>M44</f>
        <v>0</v>
      </c>
      <c r="V44" s="9" t="n">
        <f>M44</f>
        <v>0</v>
      </c>
      <c r="W44" s="9" t="n">
        <f>M44</f>
        <v>0</v>
      </c>
      <c r="X44" s="9" t="n">
        <f>M44</f>
        <v>0</v>
      </c>
      <c r="Y44" s="9" t="n">
        <f>SUM(M44:X44)</f>
        <v>0</v>
      </c>
      <c r="Z44" s="9" t="n">
        <f>Y44-(Y44*30/100)</f>
        <v>0</v>
      </c>
      <c r="AA44" s="9" t="n">
        <f>Z44*26.375/100</f>
        <v>0</v>
      </c>
      <c r="AB44" s="9" t="n">
        <f>Y44-AA44</f>
        <v>0</v>
      </c>
      <c r="AC44" s="77" t="n">
        <f>AB44/12</f>
        <v>0</v>
      </c>
    </row>
    <row r="45">
      <c r="A45" s="91"/>
      <c r="B45" s="65"/>
      <c r="C45" s="65"/>
      <c r="D45" s="65"/>
      <c r="E45" s="65"/>
      <c r="F45" s="65"/>
      <c r="G45" s="66"/>
      <c r="H45" s="219"/>
      <c r="I45" s="67"/>
      <c r="J45" s="99"/>
      <c r="K45" s="224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77"/>
    </row>
    <row r="46">
      <c r="A46" s="79" t="s">
        <v>121</v>
      </c>
      <c r="B46" s="490" t="s">
        <v>120</v>
      </c>
      <c r="C46" s="490"/>
      <c r="D46" s="490"/>
      <c r="E46" s="48" t="s">
        <v>171</v>
      </c>
      <c r="F46" s="65" t="s">
        <v>219</v>
      </c>
      <c r="G46" s="545" t="n">
        <f>_xlfn.XLOOKUP(A46,'Fondsdaten Auto'!$A$2:$A$9,'Fondsdaten Auto'!$C$2:$C$9)</f>
        <v>0.416</v>
      </c>
      <c r="H46" s="546" t="n">
        <f>_xlfn.XLOOKUP(A46,'Fondsdaten Auto'!$A$2:$A$9,'Fondsdaten Auto'!$D$2:$D$9)</f>
        <v>100.63</v>
      </c>
      <c r="I46" s="67" t="n">
        <f>Dividendenstrategie!S39</f>
        <v>0</v>
      </c>
      <c r="J46" s="99" t="n">
        <f>Dividendenstrategie!Q39-(Dividendenstrategie!R39/'Dividendenermittlung im Bestand'!H19)</f>
        <v>0</v>
      </c>
      <c r="K46" s="224" t="n">
        <f>J19-(Dividendenstrategie!R39/H19)</f>
        <v>0</v>
      </c>
      <c r="L46" s="9" t="n">
        <f t="shared" ref="L46" si="15">J46*G46</f>
        <v>0</v>
      </c>
      <c r="M46" s="9" t="n">
        <f t="shared" ref="M46:X46" si="16">L46</f>
        <v>0</v>
      </c>
      <c r="N46" s="9">
        <f t="shared" si="16"/>
        <v>0</v>
      </c>
      <c r="O46" s="9">
        <f t="shared" si="16"/>
        <v>0</v>
      </c>
      <c r="P46" s="9">
        <f t="shared" si="16"/>
        <v>0</v>
      </c>
      <c r="Q46" s="9">
        <f t="shared" si="16"/>
        <v>0</v>
      </c>
      <c r="R46" s="9">
        <f t="shared" si="16"/>
        <v>0</v>
      </c>
      <c r="S46" s="9">
        <f t="shared" si="16"/>
        <v>0</v>
      </c>
      <c r="T46" s="9">
        <f t="shared" si="16"/>
        <v>0</v>
      </c>
      <c r="U46" s="9">
        <f t="shared" si="16"/>
        <v>0</v>
      </c>
      <c r="V46" s="9">
        <f t="shared" si="16"/>
        <v>0</v>
      </c>
      <c r="W46" s="9">
        <f t="shared" si="16"/>
        <v>0</v>
      </c>
      <c r="X46" s="9">
        <f t="shared" si="16"/>
        <v>0</v>
      </c>
      <c r="Y46" s="9" t="n">
        <f>SUM(M46:X46)</f>
        <v>0</v>
      </c>
      <c r="Z46" s="9" t="n">
        <f>Y46-(Y46*15/100)</f>
        <v>0</v>
      </c>
      <c r="AA46" s="9" t="n">
        <f t="shared" ref="AA46" si="17">Z46*26.375/100</f>
        <v>0</v>
      </c>
      <c r="AB46" s="9" t="n">
        <f t="shared" ref="AB46" si="18">Y46-AA46</f>
        <v>0</v>
      </c>
      <c r="AC46" s="77" t="n">
        <f t="shared" ref="AC46" si="19">AB46/12</f>
        <v>0</v>
      </c>
    </row>
    <row r="47">
      <c r="A47" s="91"/>
      <c r="B47" s="65"/>
      <c r="C47" s="65"/>
      <c r="D47" s="65"/>
      <c r="E47" s="65"/>
      <c r="F47" s="65"/>
      <c r="G47" s="66"/>
      <c r="H47" s="219"/>
      <c r="I47" s="67"/>
      <c r="J47" s="99"/>
      <c r="K47" s="224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77"/>
    </row>
    <row r="48">
      <c r="A48" s="79" t="s">
        <v>125</v>
      </c>
      <c r="B48" s="48" t="s">
        <v>220</v>
      </c>
      <c r="C48" s="48"/>
      <c r="D48" s="48"/>
      <c r="E48" s="48" t="s">
        <v>171</v>
      </c>
      <c r="F48" s="65" t="s">
        <v>217</v>
      </c>
      <c r="G48" s="545" t="n">
        <f>_xlfn.XLOOKUP(A48,'Fondsdaten Auto'!$A$2:$A$9,'Fondsdaten Auto'!$C$2:$C$9)</f>
        <v>0.066</v>
      </c>
      <c r="H48" s="546" t="n">
        <f>_xlfn.XLOOKUP(A48,'Fondsdaten Auto'!$A$2:$A$9,'Fondsdaten Auto'!$D$2:$D$9)</f>
        <v>10.084</v>
      </c>
      <c r="I48" s="67" t="n">
        <f>Dividendenstrategie!S41</f>
        <v>0</v>
      </c>
      <c r="J48" s="99" t="n">
        <f>Dividendenstrategie!Q41-(Dividendenstrategie!R41/'Dividendenermittlung im Bestand'!H21)</f>
        <v>0</v>
      </c>
      <c r="K48" s="224" t="n">
        <f>J21-(Dividendenstrategie!R41/H21)</f>
        <v>0</v>
      </c>
      <c r="L48" s="9" t="n">
        <f t="shared" ref="L48" si="20">J48*G48</f>
        <v>0</v>
      </c>
      <c r="M48" s="9" t="n">
        <f>L48</f>
        <v>0</v>
      </c>
      <c r="N48" s="9" t="n">
        <f>L48</f>
        <v>0</v>
      </c>
      <c r="O48" s="9" t="n">
        <f>M48</f>
        <v>0</v>
      </c>
      <c r="P48" s="9" t="n">
        <f>M48</f>
        <v>0</v>
      </c>
      <c r="Q48" s="9" t="n">
        <f>M48</f>
        <v>0</v>
      </c>
      <c r="R48" s="9" t="n">
        <f>M48</f>
        <v>0</v>
      </c>
      <c r="S48" s="9" t="n">
        <f>M48</f>
        <v>0</v>
      </c>
      <c r="T48" s="9" t="n">
        <f>M48</f>
        <v>0</v>
      </c>
      <c r="U48" s="9" t="n">
        <f>M48</f>
        <v>0</v>
      </c>
      <c r="V48" s="9" t="n">
        <f>M48</f>
        <v>0</v>
      </c>
      <c r="W48" s="9" t="n">
        <f>M48</f>
        <v>0</v>
      </c>
      <c r="X48" s="9" t="n">
        <f>M48</f>
        <v>0</v>
      </c>
      <c r="Y48" s="9" t="n">
        <f>SUM(M48:X48)</f>
        <v>0</v>
      </c>
      <c r="Z48" s="9" t="n">
        <f t="shared" ref="Z48" si="21">Y48-(Y48*15/100)</f>
        <v>0</v>
      </c>
      <c r="AA48" s="9" t="n">
        <f>Z48*26.375/100</f>
        <v>0</v>
      </c>
      <c r="AB48" s="9" t="n">
        <f>Y48-AA48</f>
        <v>0</v>
      </c>
      <c r="AC48" s="77" t="n">
        <f>AB48/12</f>
        <v>0</v>
      </c>
    </row>
    <row r="49">
      <c r="A49" s="91"/>
      <c r="B49" s="65"/>
      <c r="C49" s="65"/>
      <c r="D49" s="65"/>
      <c r="E49" s="65"/>
      <c r="F49" s="65"/>
      <c r="G49" s="66"/>
      <c r="H49" s="219"/>
      <c r="I49" s="67"/>
      <c r="J49" s="99"/>
      <c r="K49" s="224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77"/>
    </row>
    <row r="50" ht="15.75">
      <c r="A50" s="80" t="s">
        <v>129</v>
      </c>
      <c r="B50" s="49" t="s">
        <v>221</v>
      </c>
      <c r="C50" s="49"/>
      <c r="D50" s="49"/>
      <c r="E50" s="49" t="s">
        <v>171</v>
      </c>
      <c r="F50" s="81" t="s">
        <v>222</v>
      </c>
      <c r="G50" s="547" t="n">
        <f>_xlfn.XLOOKUP(A50,'Fondsdaten Auto'!$A$2:$A$9,'Fondsdaten Auto'!$C$2:$C$9)</f>
        <v>0.548</v>
      </c>
      <c r="H50" s="548" t="n">
        <f>_xlfn.XLOOKUP(A50,'Fondsdaten Auto'!$A$2:$A$9,'Fondsdaten Auto'!$D$2:$D$9)</f>
        <v>108.58</v>
      </c>
      <c r="I50" s="82" t="n">
        <f>Dividendenstrategie!S43</f>
        <v>0</v>
      </c>
      <c r="J50" s="100" t="n">
        <f>Dividendenstrategie!Q43-(Dividendenstrategie!R43/'Dividendenermittlung im Bestand'!H23)</f>
        <v>0</v>
      </c>
      <c r="K50" s="225" t="n">
        <f>J23-(Dividendenstrategie!R43/H23)</f>
        <v>0</v>
      </c>
      <c r="L50" s="83" t="n">
        <f>J50*G50</f>
        <v>0</v>
      </c>
      <c r="M50" s="83" t="n">
        <f>L50</f>
        <v>0</v>
      </c>
      <c r="N50" s="83" t="n">
        <f>M50</f>
        <v>0</v>
      </c>
      <c r="O50" s="83" t="n">
        <f>M50</f>
        <v>0</v>
      </c>
      <c r="P50" s="83" t="n">
        <f>M50</f>
        <v>0</v>
      </c>
      <c r="Q50" s="83" t="n">
        <f>M50</f>
        <v>0</v>
      </c>
      <c r="R50" s="83" t="n">
        <f>M50</f>
        <v>0</v>
      </c>
      <c r="S50" s="83" t="n">
        <f>M50</f>
        <v>0</v>
      </c>
      <c r="T50" s="83" t="n">
        <f>M50</f>
        <v>0</v>
      </c>
      <c r="U50" s="83" t="n">
        <f>M50</f>
        <v>0</v>
      </c>
      <c r="V50" s="83" t="n">
        <f>M50</f>
        <v>0</v>
      </c>
      <c r="W50" s="83" t="n">
        <f>M50</f>
        <v>0</v>
      </c>
      <c r="X50" s="83" t="n">
        <f>M50</f>
        <v>0</v>
      </c>
      <c r="Y50" s="83" t="n">
        <f>SUM(M50:X50)</f>
        <v>0</v>
      </c>
      <c r="Z50" s="83" t="n">
        <f>Y50-(Y50*30/100)</f>
        <v>0</v>
      </c>
      <c r="AA50" s="83" t="n">
        <f t="shared" ref="AA50" si="22">Z50*26.375/100</f>
        <v>0</v>
      </c>
      <c r="AB50" s="83" t="n">
        <f t="shared" ref="AB50" si="23">Y50-AA50</f>
        <v>0</v>
      </c>
      <c r="AC50" s="84" t="n">
        <f t="shared" ref="AC50" si="24">AB50/12</f>
        <v>0</v>
      </c>
    </row>
    <row r="51"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Z51" s="22"/>
      <c r="AA51" s="22"/>
      <c r="AB51" s="22"/>
      <c r="AC51" s="22"/>
    </row>
  </sheetData>
  <mergeCells>
    <mergeCell ref="K26:M26"/>
    <mergeCell ref="H26:J26"/>
    <mergeCell ref="U6:U7"/>
    <mergeCell ref="V6:V7"/>
    <mergeCell ref="W6:W7"/>
    <mergeCell ref="X6:X7"/>
    <mergeCell ref="B19:D19"/>
    <mergeCell ref="O6:O7"/>
    <mergeCell ref="P6:P7"/>
    <mergeCell ref="Q6:Q7"/>
    <mergeCell ref="R6:R7"/>
    <mergeCell ref="S6:S7"/>
    <mergeCell ref="T6:T7"/>
    <mergeCell ref="H6:H7"/>
    <mergeCell ref="I6:I7"/>
    <mergeCell ref="K6:K7"/>
    <mergeCell ref="M6:M7"/>
    <mergeCell ref="N6:N7"/>
    <mergeCell ref="J6:J7"/>
    <mergeCell ref="D2:F2"/>
    <mergeCell ref="B2:C2"/>
    <mergeCell ref="A33:A34"/>
    <mergeCell ref="B33:D34"/>
    <mergeCell ref="E33:E34"/>
    <mergeCell ref="F33:F34"/>
    <mergeCell ref="I33:I34"/>
    <mergeCell ref="A6:A7"/>
    <mergeCell ref="B6:D7"/>
    <mergeCell ref="E6:E7"/>
    <mergeCell ref="F6:F7"/>
    <mergeCell ref="W33:W34"/>
    <mergeCell ref="X33:X34"/>
    <mergeCell ref="B46:D46"/>
    <mergeCell ref="Q33:Q34"/>
    <mergeCell ref="R33:R34"/>
    <mergeCell ref="S33:S34"/>
    <mergeCell ref="T33:T34"/>
    <mergeCell ref="U33:U34"/>
    <mergeCell ref="V33:V34"/>
    <mergeCell ref="J33:J34"/>
    <mergeCell ref="K33:K34"/>
    <mergeCell ref="M33:M34"/>
    <mergeCell ref="N33:N34"/>
    <mergeCell ref="O33:O34"/>
    <mergeCell ref="P33:P34"/>
    <mergeCell ref="H33:H34"/>
  </mergeCells>
  <hyperlinks>
    <hyperlink ref="K26" r:id="R5e55dcd131554b56"/>
  </hyperlinks>
  <pageMargins left="0.7" right="0.7" top="0.75" bottom="0.75" header="0.3" footer="0.3"/>
  <legacyDrawing r:id="rId_vml4"/>
</worksheet>
</file>

<file path=xl/worksheets/sheet5.xml><?xml version="1.0" encoding="utf-8"?>
<worksheet xmlns:r="http://schemas.openxmlformats.org/officeDocument/2006/relationships" xmlns="http://schemas.openxmlformats.org/spreadsheetml/2006/main">
  <sheetViews>
    <sheetView showGridLines="0" workbookViewId="0"/>
  </sheetViews>
  <sheetFormatPr baseColWidth="10" defaultColWidth="10.7109375" defaultRowHeight="15"/>
  <cols>
    <col min="1" max="1" width="8.85546875" customWidth="1"/>
    <col min="4" max="4" width="19.28515625" customWidth="1"/>
    <col min="5" max="5" width="13.140625" customWidth="1"/>
    <col min="6" max="6" width="7" customWidth="1"/>
    <col min="7" max="7" width="13.42578125" style="25" customWidth="1"/>
    <col min="8" max="8" width="12.28515625" customWidth="1"/>
    <col min="9" max="9" width="10.7109375" style="61" customWidth="0"/>
    <col min="10" max="10" width="13.5703125" customWidth="1"/>
    <col min="11" max="12" width="8.85546875" customWidth="1"/>
    <col min="13" max="13" width="10.140625" customWidth="1"/>
    <col min="14" max="21" width="8.85546875" customWidth="1"/>
    <col min="22" max="22" width="10.140625" customWidth="1"/>
    <col min="23" max="23" width="13.28515625" customWidth="1"/>
    <col min="24" max="24" width="22.5703125" customWidth="1"/>
    <col min="26" max="26" width="14.42578125" customWidth="1"/>
    <col min="27" max="27" width="13.140625" customWidth="1"/>
  </cols>
  <sheetData>
    <row r="1" ht="15.75"/>
    <row r="2" ht="29.25">
      <c r="B2" s="513" t="s">
        <v>184</v>
      </c>
      <c r="C2" s="514"/>
      <c r="D2" s="515" t="n">
        <f>'Dividendenermittlung im Bestand'!D2</f>
        <v>46198</v>
      </c>
      <c r="E2" s="516"/>
      <c r="F2" s="517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2"/>
      <c r="X2" s="22"/>
      <c r="Y2" s="22"/>
      <c r="Z2" s="22"/>
      <c r="AA2" s="22"/>
    </row>
    <row r="3" ht="14.25" customHeight="1">
      <c r="B3" s="104"/>
      <c r="C3" s="104"/>
      <c r="D3" s="105"/>
      <c r="E3" s="105"/>
      <c r="F3" s="105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2"/>
      <c r="X3" s="22"/>
      <c r="Y3" s="22"/>
      <c r="Z3" s="22"/>
      <c r="AA3" s="22"/>
    </row>
    <row r="4" ht="26.25">
      <c r="D4" s="102" t="s">
        <v>229</v>
      </c>
    </row>
    <row r="5" ht="15.75"/>
    <row r="6">
      <c r="A6" s="488" t="s">
        <v>86</v>
      </c>
      <c r="B6" s="493" t="s">
        <v>186</v>
      </c>
      <c r="C6" s="494"/>
      <c r="D6" s="495"/>
      <c r="E6" s="488" t="s">
        <v>187</v>
      </c>
      <c r="F6" s="488" t="s">
        <v>188</v>
      </c>
      <c r="G6" s="68" t="s">
        <v>187</v>
      </c>
      <c r="H6" s="488" t="s">
        <v>189</v>
      </c>
      <c r="I6" s="488" t="s">
        <v>190</v>
      </c>
      <c r="J6" s="62" t="s">
        <v>187</v>
      </c>
      <c r="K6" s="488" t="s">
        <v>191</v>
      </c>
      <c r="L6" s="488" t="s">
        <v>192</v>
      </c>
      <c r="M6" s="488" t="s">
        <v>193</v>
      </c>
      <c r="N6" s="488" t="s">
        <v>194</v>
      </c>
      <c r="O6" s="488" t="s">
        <v>195</v>
      </c>
      <c r="P6" s="488" t="s">
        <v>196</v>
      </c>
      <c r="Q6" s="488" t="s">
        <v>197</v>
      </c>
      <c r="R6" s="488" t="s">
        <v>198</v>
      </c>
      <c r="S6" s="488" t="s">
        <v>199</v>
      </c>
      <c r="T6" s="488" t="s">
        <v>200</v>
      </c>
      <c r="U6" s="488" t="s">
        <v>201</v>
      </c>
      <c r="V6" s="488" t="s">
        <v>202</v>
      </c>
      <c r="W6" s="62" t="s">
        <v>82</v>
      </c>
      <c r="X6" s="62" t="s">
        <v>203</v>
      </c>
      <c r="Y6" s="62" t="s">
        <v>204</v>
      </c>
      <c r="Z6" s="62" t="s">
        <v>205</v>
      </c>
      <c r="AA6" s="62" t="s">
        <v>206</v>
      </c>
    </row>
    <row r="7" ht="15.75">
      <c r="A7" s="512"/>
      <c r="B7" s="518"/>
      <c r="C7" s="519"/>
      <c r="D7" s="520"/>
      <c r="E7" s="512"/>
      <c r="F7" s="512"/>
      <c r="G7" s="69" t="s">
        <v>207</v>
      </c>
      <c r="H7" s="512"/>
      <c r="I7" s="512"/>
      <c r="J7" s="63" t="s">
        <v>207</v>
      </c>
      <c r="K7" s="512"/>
      <c r="L7" s="512"/>
      <c r="M7" s="512"/>
      <c r="N7" s="512"/>
      <c r="O7" s="512"/>
      <c r="P7" s="512"/>
      <c r="Q7" s="512"/>
      <c r="R7" s="512"/>
      <c r="S7" s="512"/>
      <c r="T7" s="512"/>
      <c r="U7" s="512"/>
      <c r="V7" s="512"/>
      <c r="W7" s="63" t="s">
        <v>187</v>
      </c>
      <c r="X7" s="63" t="s">
        <v>208</v>
      </c>
      <c r="Y7" s="63" t="s">
        <v>209</v>
      </c>
      <c r="Z7" s="63" t="s">
        <v>210</v>
      </c>
      <c r="AA7" s="63" t="s">
        <v>210</v>
      </c>
    </row>
    <row r="8" ht="15.75">
      <c r="G8" s="112"/>
      <c r="H8" s="113"/>
      <c r="I8" s="114"/>
      <c r="J8" s="113"/>
      <c r="W8" s="3"/>
      <c r="X8" s="3"/>
      <c r="Y8" s="3"/>
      <c r="Z8" s="3"/>
      <c r="AA8" s="3"/>
    </row>
    <row r="9">
      <c r="A9" s="85" t="s">
        <v>103</v>
      </c>
      <c r="B9" s="46" t="s">
        <v>211</v>
      </c>
      <c r="C9" s="46"/>
      <c r="D9" s="46"/>
      <c r="E9" s="46" t="s">
        <v>170</v>
      </c>
      <c r="F9" s="95" t="s">
        <v>212</v>
      </c>
      <c r="G9" s="549" t="n">
        <f>_xlfn.XLOOKUP(A9,'Fondsdaten Auto'!$A$2:$A$9,'Fondsdaten Auto'!$C$2:$C$9)</f>
        <v>4.287</v>
      </c>
      <c r="H9" s="550" t="n">
        <f>_xlfn.XLOOKUP(A9,'Fondsdaten Auto'!$A$2:$A$9,'Fondsdaten Auto'!$D$2:$D$9)</f>
        <v>117.93</v>
      </c>
      <c r="I9" s="70" t="n">
        <f>Wachstumsstrategie!S29</f>
        <v>0</v>
      </c>
      <c r="J9" s="111" t="n">
        <f>(I9*95/100)/H9*G9</f>
        <v>0</v>
      </c>
      <c r="K9" s="106"/>
      <c r="L9" s="88"/>
      <c r="M9" s="88"/>
      <c r="N9" s="88"/>
      <c r="O9" s="88"/>
      <c r="P9" s="88"/>
      <c r="Q9" s="88"/>
      <c r="R9" s="88"/>
      <c r="S9" s="88"/>
      <c r="T9" s="88"/>
      <c r="U9" s="88"/>
      <c r="V9" s="88" t="n">
        <f>J9</f>
        <v>0</v>
      </c>
      <c r="W9" s="88" t="n">
        <f>SUM(V9:V9)</f>
        <v>0</v>
      </c>
      <c r="X9" s="88" t="n">
        <f>W9-(W9*30/100)</f>
        <v>0</v>
      </c>
      <c r="Y9" s="88" t="n">
        <f>X9*26.375/100</f>
        <v>0</v>
      </c>
      <c r="Z9" s="88" t="n">
        <f>W9-Y9</f>
        <v>0</v>
      </c>
      <c r="AA9" s="89"/>
    </row>
    <row r="10">
      <c r="A10" s="91"/>
      <c r="B10" s="65"/>
      <c r="C10" s="65"/>
      <c r="D10" s="65"/>
      <c r="E10" s="65"/>
      <c r="F10" s="96"/>
      <c r="G10" s="66"/>
      <c r="H10" s="90"/>
      <c r="I10" s="67"/>
      <c r="J10" s="111"/>
      <c r="K10" s="10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77"/>
    </row>
    <row r="11">
      <c r="A11" s="76" t="s">
        <v>107</v>
      </c>
      <c r="B11" s="47" t="s">
        <v>213</v>
      </c>
      <c r="C11" s="47"/>
      <c r="D11" s="47"/>
      <c r="E11" s="47" t="s">
        <v>170</v>
      </c>
      <c r="F11" s="96" t="s">
        <v>230</v>
      </c>
      <c r="G11" s="545" t="n">
        <f>_xlfn.XLOOKUP(A11,'Fondsdaten Auto'!$A$2:$A$9,'Fondsdaten Auto'!$C$2:$C$9)</f>
        <v>6.95</v>
      </c>
      <c r="H11" s="551" t="n">
        <f>_xlfn.XLOOKUP(A11,'Fondsdaten Auto'!$A$2:$A$9,'Fondsdaten Auto'!$D$2:$D$9)</f>
        <v>167.8</v>
      </c>
      <c r="I11" s="67" t="n">
        <f>Wachstumsstrategie!S31</f>
        <v>0</v>
      </c>
      <c r="J11" s="111" t="n">
        <f t="shared" ref="J11:J23" si="0">(I11*95/100)/H11*G11</f>
        <v>0</v>
      </c>
      <c r="K11" s="107"/>
      <c r="L11" s="9"/>
      <c r="M11" s="9" t="n">
        <f>J11</f>
        <v>0</v>
      </c>
      <c r="N11" s="9"/>
      <c r="O11" s="9"/>
      <c r="P11" s="9"/>
      <c r="Q11" s="9"/>
      <c r="R11" s="9"/>
      <c r="S11" s="9"/>
      <c r="T11" s="9"/>
      <c r="U11" s="9"/>
      <c r="V11" s="9"/>
      <c r="W11" s="9" t="n">
        <f>SUM(M11:V11)</f>
        <v>0</v>
      </c>
      <c r="X11" s="9" t="n">
        <f>W11-(W11*30/100)</f>
        <v>0</v>
      </c>
      <c r="Y11" s="9" t="n">
        <f>X11*26.375/100</f>
        <v>0</v>
      </c>
      <c r="Z11" s="9" t="n">
        <f>W11-Y11</f>
        <v>0</v>
      </c>
      <c r="AA11" s="77"/>
    </row>
    <row r="12">
      <c r="A12" s="91"/>
      <c r="B12" s="65"/>
      <c r="C12" s="65"/>
      <c r="D12" s="65"/>
      <c r="E12" s="65"/>
      <c r="F12" s="96"/>
      <c r="G12" s="66"/>
      <c r="H12" s="90"/>
      <c r="I12" s="67"/>
      <c r="J12" s="111"/>
      <c r="K12" s="107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77"/>
    </row>
    <row r="13">
      <c r="A13" s="78">
        <v>984811</v>
      </c>
      <c r="B13" s="47" t="s">
        <v>110</v>
      </c>
      <c r="C13" s="47"/>
      <c r="D13" s="47"/>
      <c r="E13" s="47" t="s">
        <v>170</v>
      </c>
      <c r="F13" s="96" t="s">
        <v>215</v>
      </c>
      <c r="G13" s="545" t="n">
        <f>_xlfn.XLOOKUP(A13,'Fondsdaten Auto'!$A$2:$A$9,'Fondsdaten Auto'!$C$2:$C$9)</f>
        <v>5.1</v>
      </c>
      <c r="H13" s="551" t="n">
        <f>_xlfn.XLOOKUP(A13,'Fondsdaten Auto'!$A$2:$A$9,'Fondsdaten Auto'!$D$2:$D$9)</f>
        <v>167.8</v>
      </c>
      <c r="I13" s="67" t="n">
        <f>Wachstumsstrategie!S33</f>
        <v>0</v>
      </c>
      <c r="J13" s="111">
        <f t="shared" si="0"/>
        <v>0</v>
      </c>
      <c r="K13" s="107"/>
      <c r="L13" s="9"/>
      <c r="M13" s="9"/>
      <c r="N13" s="9"/>
      <c r="O13" s="9"/>
      <c r="P13" s="9"/>
      <c r="Q13" s="9"/>
      <c r="R13" s="9"/>
      <c r="S13" s="9"/>
      <c r="T13" s="9"/>
      <c r="U13" s="9" t="n">
        <f>J13</f>
        <v>0</v>
      </c>
      <c r="V13" s="9"/>
      <c r="W13" s="9" t="n">
        <f>SUM(U13:V13)</f>
        <v>0</v>
      </c>
      <c r="X13" s="9" t="n">
        <f>W13-(W13*30/100)</f>
        <v>0</v>
      </c>
      <c r="Y13" s="9" t="n">
        <f>X13*26.375/100</f>
        <v>0</v>
      </c>
      <c r="Z13" s="9" t="n">
        <f>W13-Y13</f>
        <v>0</v>
      </c>
      <c r="AA13" s="77"/>
    </row>
    <row r="14">
      <c r="A14" s="91"/>
      <c r="B14" s="65"/>
      <c r="C14" s="65"/>
      <c r="D14" s="65"/>
      <c r="E14" s="65"/>
      <c r="F14" s="96"/>
      <c r="G14" s="66"/>
      <c r="H14" s="90"/>
      <c r="I14" s="67"/>
      <c r="J14" s="111"/>
      <c r="K14" s="10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77"/>
    </row>
    <row r="15">
      <c r="A15" s="79" t="s">
        <v>113</v>
      </c>
      <c r="B15" s="48" t="s">
        <v>216</v>
      </c>
      <c r="C15" s="48"/>
      <c r="D15" s="48"/>
      <c r="E15" s="48" t="s">
        <v>171</v>
      </c>
      <c r="F15" s="96" t="s">
        <v>217</v>
      </c>
      <c r="G15" s="545" t="n">
        <f>_xlfn.XLOOKUP(A15,'Fondsdaten Auto'!$A$2:$A$9,'Fondsdaten Auto'!$C$2:$C$9)</f>
        <v>0.051</v>
      </c>
      <c r="H15" s="551" t="n">
        <f>_xlfn.XLOOKUP(A15,'Fondsdaten Auto'!$A$2:$A$9,'Fondsdaten Auto'!$D$2:$D$9)</f>
        <v>11.4</v>
      </c>
      <c r="I15" s="67" t="n">
        <f>Wachstumsstrategie!S35</f>
        <v>0</v>
      </c>
      <c r="J15" s="111">
        <f t="shared" si="0"/>
        <v>0</v>
      </c>
      <c r="K15" s="107" t="n">
        <f>J15</f>
        <v>0</v>
      </c>
      <c r="L15" s="9" t="n">
        <f>J15</f>
        <v>0</v>
      </c>
      <c r="M15" s="9" t="n">
        <f>J15</f>
        <v>0</v>
      </c>
      <c r="N15" s="9" t="n">
        <f>J15</f>
        <v>0</v>
      </c>
      <c r="O15" s="9" t="n">
        <f>J15</f>
        <v>0</v>
      </c>
      <c r="P15" s="9" t="n">
        <f>J15</f>
        <v>0</v>
      </c>
      <c r="Q15" s="9" t="n">
        <f>J15</f>
        <v>0</v>
      </c>
      <c r="R15" s="9" t="n">
        <f>J15</f>
        <v>0</v>
      </c>
      <c r="S15" s="9" t="n">
        <f>J15</f>
        <v>0</v>
      </c>
      <c r="T15" s="9" t="n">
        <f>J15</f>
        <v>0</v>
      </c>
      <c r="U15" s="9" t="n">
        <f>J15</f>
        <v>0</v>
      </c>
      <c r="V15" s="9" t="n">
        <f>J15</f>
        <v>0</v>
      </c>
      <c r="W15" s="9" t="n">
        <f>SUM(K15:V15)</f>
        <v>0</v>
      </c>
      <c r="X15" s="9" t="n">
        <f>W15-(W15*30/100)</f>
        <v>0</v>
      </c>
      <c r="Y15" s="9" t="n">
        <f>X15*26.375/100</f>
        <v>0</v>
      </c>
      <c r="Z15" s="9" t="n">
        <f>W15-Y15</f>
        <v>0</v>
      </c>
      <c r="AA15" s="77" t="n">
        <f>Z15/12</f>
        <v>0</v>
      </c>
    </row>
    <row r="16">
      <c r="A16" s="91"/>
      <c r="B16" s="65"/>
      <c r="C16" s="65"/>
      <c r="D16" s="65"/>
      <c r="E16" s="65"/>
      <c r="F16" s="96"/>
      <c r="G16" s="66"/>
      <c r="H16" s="90"/>
      <c r="I16" s="67"/>
      <c r="J16" s="111"/>
      <c r="K16" s="107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77"/>
    </row>
    <row r="17">
      <c r="A17" s="79" t="s">
        <v>117</v>
      </c>
      <c r="B17" s="48" t="s">
        <v>218</v>
      </c>
      <c r="C17" s="48"/>
      <c r="D17" s="48"/>
      <c r="E17" s="48" t="s">
        <v>171</v>
      </c>
      <c r="F17" s="96" t="s">
        <v>217</v>
      </c>
      <c r="G17" s="545" t="n">
        <f>_xlfn.XLOOKUP(A17,'Fondsdaten Auto'!$A$2:$A$9,'Fondsdaten Auto'!$C$2:$C$9)</f>
        <v>0.586</v>
      </c>
      <c r="H17" s="551" t="n">
        <f>_xlfn.XLOOKUP(A17,'Fondsdaten Auto'!$A$2:$A$9,'Fondsdaten Auto'!$D$2:$D$9)</f>
        <v>117.42</v>
      </c>
      <c r="I17" s="67" t="n">
        <f>Wachstumsstrategie!S37</f>
        <v>0</v>
      </c>
      <c r="J17" s="111">
        <f t="shared" si="0"/>
        <v>0</v>
      </c>
      <c r="K17" s="107" t="n">
        <f>J17</f>
        <v>0</v>
      </c>
      <c r="L17" s="9" t="n">
        <f>K17</f>
        <v>0</v>
      </c>
      <c r="M17" s="9" t="n">
        <f>K17</f>
        <v>0</v>
      </c>
      <c r="N17" s="9" t="n">
        <f>K17</f>
        <v>0</v>
      </c>
      <c r="O17" s="9" t="n">
        <f>K17</f>
        <v>0</v>
      </c>
      <c r="P17" s="9" t="n">
        <f>K17</f>
        <v>0</v>
      </c>
      <c r="Q17" s="9" t="n">
        <f>K17</f>
        <v>0</v>
      </c>
      <c r="R17" s="9" t="n">
        <f>K17</f>
        <v>0</v>
      </c>
      <c r="S17" s="9" t="n">
        <f>K17</f>
        <v>0</v>
      </c>
      <c r="T17" s="9" t="n">
        <f>K17</f>
        <v>0</v>
      </c>
      <c r="U17" s="9" t="n">
        <f>K17</f>
        <v>0</v>
      </c>
      <c r="V17" s="9" t="n">
        <f>K17</f>
        <v>0</v>
      </c>
      <c r="W17" s="9" t="n">
        <f>SUM(K17:V17)</f>
        <v>0</v>
      </c>
      <c r="X17" s="9" t="n">
        <f>W17-(W17*30/100)</f>
        <v>0</v>
      </c>
      <c r="Y17" s="9" t="n">
        <f>X17*26.375/100</f>
        <v>0</v>
      </c>
      <c r="Z17" s="9" t="n">
        <f>W17-Y17</f>
        <v>0</v>
      </c>
      <c r="AA17" s="77" t="n">
        <f>Z17/12</f>
        <v>0</v>
      </c>
    </row>
    <row r="18">
      <c r="A18" s="91"/>
      <c r="B18" s="65"/>
      <c r="C18" s="65"/>
      <c r="D18" s="65"/>
      <c r="E18" s="65"/>
      <c r="F18" s="96"/>
      <c r="G18" s="66"/>
      <c r="H18" s="90"/>
      <c r="I18" s="67"/>
      <c r="J18" s="111"/>
      <c r="K18" s="107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77"/>
    </row>
    <row r="19">
      <c r="A19" s="79" t="s">
        <v>121</v>
      </c>
      <c r="B19" s="490" t="s">
        <v>120</v>
      </c>
      <c r="C19" s="490"/>
      <c r="D19" s="490"/>
      <c r="E19" s="48" t="s">
        <v>171</v>
      </c>
      <c r="F19" s="96" t="s">
        <v>219</v>
      </c>
      <c r="G19" s="545" t="n">
        <f>_xlfn.XLOOKUP(A19,'Fondsdaten Auto'!$A$2:$A$9,'Fondsdaten Auto'!$C$2:$C$9)</f>
        <v>0.416</v>
      </c>
      <c r="H19" s="551" t="n">
        <f>_xlfn.XLOOKUP(A19,'Fondsdaten Auto'!$A$2:$A$9,'Fondsdaten Auto'!$D$2:$D$9)</f>
        <v>100.63</v>
      </c>
      <c r="I19" s="67" t="n">
        <f>Wachstumsstrategie!S39</f>
        <v>0</v>
      </c>
      <c r="J19" s="111">
        <f t="shared" si="0"/>
        <v>0</v>
      </c>
      <c r="K19" s="107" t="n">
        <f t="shared" ref="K19:V19" si="1">J19</f>
        <v>0</v>
      </c>
      <c r="L19" s="9">
        <f t="shared" si="1"/>
        <v>0</v>
      </c>
      <c r="M19" s="9">
        <f t="shared" si="1"/>
        <v>0</v>
      </c>
      <c r="N19" s="9">
        <f t="shared" si="1"/>
        <v>0</v>
      </c>
      <c r="O19" s="9">
        <f t="shared" si="1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>
        <f t="shared" si="1"/>
        <v>0</v>
      </c>
      <c r="T19" s="9">
        <f t="shared" si="1"/>
        <v>0</v>
      </c>
      <c r="U19" s="9">
        <f t="shared" si="1"/>
        <v>0</v>
      </c>
      <c r="V19" s="9">
        <f t="shared" si="1"/>
        <v>0</v>
      </c>
      <c r="W19" s="9" t="n">
        <f>SUM(K19:V19)</f>
        <v>0</v>
      </c>
      <c r="X19" s="9" t="n">
        <f>W19-(W19*15/100)</f>
        <v>0</v>
      </c>
      <c r="Y19" s="9" t="n">
        <f t="shared" ref="Y19" si="2">X19*26.375/100</f>
        <v>0</v>
      </c>
      <c r="Z19" s="9" t="n">
        <f t="shared" ref="Z19" si="3">W19-Y19</f>
        <v>0</v>
      </c>
      <c r="AA19" s="77" t="n">
        <f t="shared" ref="AA19" si="4">Z19/12</f>
        <v>0</v>
      </c>
    </row>
    <row r="20">
      <c r="A20" s="91"/>
      <c r="B20" s="65"/>
      <c r="C20" s="65"/>
      <c r="D20" s="65"/>
      <c r="E20" s="65"/>
      <c r="F20" s="96"/>
      <c r="G20" s="66"/>
      <c r="H20" s="90"/>
      <c r="I20" s="67"/>
      <c r="J20" s="111"/>
      <c r="K20" s="107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77"/>
    </row>
    <row r="21">
      <c r="A21" s="79" t="s">
        <v>125</v>
      </c>
      <c r="B21" s="48" t="s">
        <v>220</v>
      </c>
      <c r="C21" s="48"/>
      <c r="D21" s="48"/>
      <c r="E21" s="48" t="s">
        <v>171</v>
      </c>
      <c r="F21" s="96" t="s">
        <v>217</v>
      </c>
      <c r="G21" s="545" t="n">
        <f>_xlfn.XLOOKUP(A21,'Fondsdaten Auto'!$A$2:$A$9,'Fondsdaten Auto'!$C$2:$C$9)</f>
        <v>0.066</v>
      </c>
      <c r="H21" s="551" t="n">
        <f>_xlfn.XLOOKUP(A21,'Fondsdaten Auto'!$A$2:$A$9,'Fondsdaten Auto'!$D$2:$D$9)</f>
        <v>10.084</v>
      </c>
      <c r="I21" s="67" t="n">
        <f>Wachstumsstrategie!S41</f>
        <v>0</v>
      </c>
      <c r="J21" s="111">
        <f t="shared" si="0"/>
        <v>0</v>
      </c>
      <c r="K21" s="107" t="n">
        <f>J21</f>
        <v>0</v>
      </c>
      <c r="L21" s="9" t="n">
        <f>J21</f>
        <v>0</v>
      </c>
      <c r="M21" s="9" t="n">
        <f>K21</f>
        <v>0</v>
      </c>
      <c r="N21" s="9" t="n">
        <f>K21</f>
        <v>0</v>
      </c>
      <c r="O21" s="9" t="n">
        <f>K21</f>
        <v>0</v>
      </c>
      <c r="P21" s="9" t="n">
        <f>K21</f>
        <v>0</v>
      </c>
      <c r="Q21" s="9" t="n">
        <f>K21</f>
        <v>0</v>
      </c>
      <c r="R21" s="9" t="n">
        <f>K21</f>
        <v>0</v>
      </c>
      <c r="S21" s="9" t="n">
        <f>K21</f>
        <v>0</v>
      </c>
      <c r="T21" s="9" t="n">
        <f>K21</f>
        <v>0</v>
      </c>
      <c r="U21" s="9" t="n">
        <f>K21</f>
        <v>0</v>
      </c>
      <c r="V21" s="9" t="n">
        <f>K21</f>
        <v>0</v>
      </c>
      <c r="W21" s="9" t="n">
        <f>SUM(K21:V21)</f>
        <v>0</v>
      </c>
      <c r="X21" s="9" t="n">
        <f t="shared" ref="X21" si="5">W21-(W21*15/100)</f>
        <v>0</v>
      </c>
      <c r="Y21" s="9" t="n">
        <f>X21*26.375/100</f>
        <v>0</v>
      </c>
      <c r="Z21" s="9" t="n">
        <f>W21-Y21</f>
        <v>0</v>
      </c>
      <c r="AA21" s="77" t="n">
        <f>Z21/12</f>
        <v>0</v>
      </c>
    </row>
    <row r="22">
      <c r="A22" s="91"/>
      <c r="B22" s="65"/>
      <c r="C22" s="65"/>
      <c r="D22" s="65"/>
      <c r="E22" s="65"/>
      <c r="F22" s="96"/>
      <c r="G22" s="66"/>
      <c r="H22" s="90"/>
      <c r="I22" s="67"/>
      <c r="J22" s="111"/>
      <c r="K22" s="10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77"/>
    </row>
    <row r="23" ht="15.75">
      <c r="A23" s="80" t="s">
        <v>129</v>
      </c>
      <c r="B23" s="49" t="s">
        <v>221</v>
      </c>
      <c r="C23" s="49"/>
      <c r="D23" s="49"/>
      <c r="E23" s="49" t="s">
        <v>171</v>
      </c>
      <c r="F23" s="97" t="s">
        <v>222</v>
      </c>
      <c r="G23" s="547" t="n">
        <f>_xlfn.XLOOKUP(A23,'Fondsdaten Auto'!$A$2:$A$9,'Fondsdaten Auto'!$C$2:$C$9)</f>
        <v>0.548</v>
      </c>
      <c r="H23" s="552" t="n">
        <f>_xlfn.XLOOKUP(A23,'Fondsdaten Auto'!$A$2:$A$9,'Fondsdaten Auto'!$D$2:$D$9)</f>
        <v>108.58</v>
      </c>
      <c r="I23" s="82" t="n">
        <f>Wachstumsstrategie!S43</f>
        <v>0</v>
      </c>
      <c r="J23" s="83">
        <f t="shared" si="0"/>
        <v>0</v>
      </c>
      <c r="K23" s="108" t="n">
        <f>J23</f>
        <v>0</v>
      </c>
      <c r="L23" s="83" t="n">
        <f>K23</f>
        <v>0</v>
      </c>
      <c r="M23" s="83" t="n">
        <f>K23</f>
        <v>0</v>
      </c>
      <c r="N23" s="83" t="n">
        <f>K23</f>
        <v>0</v>
      </c>
      <c r="O23" s="83" t="n">
        <f>K23</f>
        <v>0</v>
      </c>
      <c r="P23" s="83" t="n">
        <f>K23</f>
        <v>0</v>
      </c>
      <c r="Q23" s="83" t="n">
        <f>K23</f>
        <v>0</v>
      </c>
      <c r="R23" s="83" t="n">
        <f>K23</f>
        <v>0</v>
      </c>
      <c r="S23" s="83" t="n">
        <f>K23</f>
        <v>0</v>
      </c>
      <c r="T23" s="83" t="n">
        <f>K23</f>
        <v>0</v>
      </c>
      <c r="U23" s="83" t="n">
        <f>K23</f>
        <v>0</v>
      </c>
      <c r="V23" s="83" t="n">
        <f>K23</f>
        <v>0</v>
      </c>
      <c r="W23" s="83" t="n">
        <f>SUM(K23:V23)</f>
        <v>0</v>
      </c>
      <c r="X23" s="83" t="n">
        <f>W23-(W23*30/100)</f>
        <v>0</v>
      </c>
      <c r="Y23" s="83" t="n">
        <f t="shared" ref="Y23" si="6">X23*26.375/100</f>
        <v>0</v>
      </c>
      <c r="Z23" s="83" t="n">
        <f t="shared" ref="Z23" si="7">W23-Y23</f>
        <v>0</v>
      </c>
      <c r="AA23" s="84" t="n">
        <f t="shared" ref="AA23" si="8">Z23/12</f>
        <v>0</v>
      </c>
    </row>
    <row r="24"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X24" s="22"/>
      <c r="Y24" s="22"/>
      <c r="Z24" s="22"/>
      <c r="AA24" s="22"/>
    </row>
    <row r="26">
      <c r="J26" t="str">
        <v>Automatische Fondsdaten: Aktualisierung beim Öffnen aktiviert</v>
      </c>
    </row>
    <row r="27" ht="26.25">
      <c r="D27" s="102" t="s">
        <v>231</v>
      </c>
    </row>
    <row r="28" ht="15.75"/>
    <row r="29">
      <c r="A29" s="488" t="s">
        <v>86</v>
      </c>
      <c r="B29" s="493" t="s">
        <v>186</v>
      </c>
      <c r="C29" s="494"/>
      <c r="D29" s="495"/>
      <c r="E29" s="488" t="s">
        <v>187</v>
      </c>
      <c r="F29" s="488" t="s">
        <v>188</v>
      </c>
      <c r="G29" s="68" t="s">
        <v>187</v>
      </c>
      <c r="H29" s="488" t="s">
        <v>189</v>
      </c>
      <c r="I29" s="488" t="s">
        <v>190</v>
      </c>
      <c r="J29" s="62" t="s">
        <v>187</v>
      </c>
      <c r="K29" s="488" t="s">
        <v>191</v>
      </c>
      <c r="L29" s="488" t="s">
        <v>192</v>
      </c>
      <c r="M29" s="488" t="s">
        <v>193</v>
      </c>
      <c r="N29" s="488" t="s">
        <v>194</v>
      </c>
      <c r="O29" s="488" t="s">
        <v>195</v>
      </c>
      <c r="P29" s="488" t="s">
        <v>196</v>
      </c>
      <c r="Q29" s="488" t="s">
        <v>197</v>
      </c>
      <c r="R29" s="488" t="s">
        <v>198</v>
      </c>
      <c r="S29" s="488" t="s">
        <v>199</v>
      </c>
      <c r="T29" s="488" t="s">
        <v>200</v>
      </c>
      <c r="U29" s="488" t="s">
        <v>201</v>
      </c>
      <c r="V29" s="488" t="s">
        <v>202</v>
      </c>
      <c r="W29" s="62" t="s">
        <v>82</v>
      </c>
      <c r="X29" s="62" t="s">
        <v>203</v>
      </c>
      <c r="Y29" s="62" t="s">
        <v>204</v>
      </c>
      <c r="Z29" s="62" t="s">
        <v>205</v>
      </c>
      <c r="AA29" s="62" t="s">
        <v>206</v>
      </c>
    </row>
    <row r="30" ht="15.75">
      <c r="A30" s="512"/>
      <c r="B30" s="518"/>
      <c r="C30" s="519"/>
      <c r="D30" s="520"/>
      <c r="E30" s="512"/>
      <c r="F30" s="512"/>
      <c r="G30" s="69" t="s">
        <v>207</v>
      </c>
      <c r="H30" s="512"/>
      <c r="I30" s="512"/>
      <c r="J30" s="63" t="s">
        <v>207</v>
      </c>
      <c r="K30" s="512"/>
      <c r="L30" s="512"/>
      <c r="M30" s="512"/>
      <c r="N30" s="512"/>
      <c r="O30" s="512"/>
      <c r="P30" s="512"/>
      <c r="Q30" s="512"/>
      <c r="R30" s="512"/>
      <c r="S30" s="512"/>
      <c r="T30" s="512"/>
      <c r="U30" s="512"/>
      <c r="V30" s="512"/>
      <c r="W30" s="63" t="s">
        <v>187</v>
      </c>
      <c r="X30" s="63" t="s">
        <v>208</v>
      </c>
      <c r="Y30" s="63" t="s">
        <v>209</v>
      </c>
      <c r="Z30" s="63" t="s">
        <v>210</v>
      </c>
      <c r="AA30" s="63" t="s">
        <v>210</v>
      </c>
    </row>
    <row r="31" ht="15.75">
      <c r="G31" s="112"/>
      <c r="H31" s="113"/>
      <c r="I31" s="114"/>
      <c r="J31" s="113"/>
      <c r="W31" s="3"/>
      <c r="X31" s="3"/>
      <c r="Y31" s="3"/>
      <c r="Z31" s="3"/>
      <c r="AA31" s="3"/>
    </row>
    <row r="32">
      <c r="A32" s="85" t="s">
        <v>103</v>
      </c>
      <c r="B32" s="46" t="s">
        <v>211</v>
      </c>
      <c r="C32" s="46"/>
      <c r="D32" s="46"/>
      <c r="E32" s="46" t="s">
        <v>170</v>
      </c>
      <c r="F32" s="95" t="s">
        <v>212</v>
      </c>
      <c r="G32" s="549" t="n">
        <f>_xlfn.XLOOKUP(A32,'Fondsdaten Auto'!$A$2:$A$9,'Fondsdaten Auto'!$C$2:$C$9)</f>
        <v>4.287</v>
      </c>
      <c r="H32" s="550" t="n">
        <f>_xlfn.XLOOKUP(A32,'Fondsdaten Auto'!$A$2:$A$9,'Fondsdaten Auto'!$D$2:$D$9)</f>
        <v>117.93</v>
      </c>
      <c r="I32" s="70" t="n">
        <f>Dividendenstrategie!S29</f>
        <v>0</v>
      </c>
      <c r="J32" s="111" t="n">
        <f>(I32*95/100)/H32*G32</f>
        <v>0</v>
      </c>
      <c r="K32" s="106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 t="n">
        <f>J32</f>
        <v>0</v>
      </c>
      <c r="W32" s="88" t="n">
        <f>SUM(V32:V32)</f>
        <v>0</v>
      </c>
      <c r="X32" s="88" t="n">
        <f>W32-(W32*30/100)</f>
        <v>0</v>
      </c>
      <c r="Y32" s="88" t="n">
        <f>X32*26.375/100</f>
        <v>0</v>
      </c>
      <c r="Z32" s="88" t="n">
        <f>W32-Y32</f>
        <v>0</v>
      </c>
      <c r="AA32" s="89"/>
    </row>
    <row r="33">
      <c r="A33" s="91"/>
      <c r="B33" s="65"/>
      <c r="C33" s="65"/>
      <c r="D33" s="65"/>
      <c r="E33" s="65"/>
      <c r="F33" s="96"/>
      <c r="G33" s="66"/>
      <c r="H33" s="90"/>
      <c r="I33" s="67"/>
      <c r="J33" s="111"/>
      <c r="K33" s="107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77"/>
    </row>
    <row r="34">
      <c r="A34" s="76" t="s">
        <v>107</v>
      </c>
      <c r="B34" s="47" t="s">
        <v>213</v>
      </c>
      <c r="C34" s="47"/>
      <c r="D34" s="47"/>
      <c r="E34" s="47" t="s">
        <v>170</v>
      </c>
      <c r="F34" s="96" t="s">
        <v>230</v>
      </c>
      <c r="G34" s="545" t="n">
        <f>_xlfn.XLOOKUP(A34,'Fondsdaten Auto'!$A$2:$A$9,'Fondsdaten Auto'!$C$2:$C$9)</f>
        <v>6.95</v>
      </c>
      <c r="H34" s="551" t="n">
        <f>_xlfn.XLOOKUP(A34,'Fondsdaten Auto'!$A$2:$A$9,'Fondsdaten Auto'!$D$2:$D$9)</f>
        <v>167.8</v>
      </c>
      <c r="I34" s="67" t="n">
        <f>Dividendenstrategie!S31</f>
        <v>0</v>
      </c>
      <c r="J34" s="111" t="n">
        <f t="shared" ref="J34:J46" si="9">(I34*95/100)/H34*G34</f>
        <v>0</v>
      </c>
      <c r="K34" s="107"/>
      <c r="L34" s="9"/>
      <c r="M34" s="9" t="n">
        <f>J34</f>
        <v>0</v>
      </c>
      <c r="N34" s="9"/>
      <c r="O34" s="9"/>
      <c r="P34" s="9"/>
      <c r="Q34" s="9"/>
      <c r="R34" s="9"/>
      <c r="S34" s="9"/>
      <c r="T34" s="9"/>
      <c r="U34" s="9"/>
      <c r="V34" s="9"/>
      <c r="W34" s="9" t="n">
        <f>SUM(M34:V34)</f>
        <v>0</v>
      </c>
      <c r="X34" s="9" t="n">
        <f>W34-(W34*30/100)</f>
        <v>0</v>
      </c>
      <c r="Y34" s="9" t="n">
        <f>X34*26.375/100</f>
        <v>0</v>
      </c>
      <c r="Z34" s="9" t="n">
        <f>W34-Y34</f>
        <v>0</v>
      </c>
      <c r="AA34" s="77"/>
    </row>
    <row r="35">
      <c r="A35" s="91"/>
      <c r="B35" s="65"/>
      <c r="C35" s="65"/>
      <c r="D35" s="65"/>
      <c r="E35" s="65"/>
      <c r="F35" s="96"/>
      <c r="G35" s="66"/>
      <c r="H35" s="90"/>
      <c r="I35" s="67"/>
      <c r="J35" s="111"/>
      <c r="K35" s="107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77"/>
    </row>
    <row r="36">
      <c r="A36" s="78">
        <v>984811</v>
      </c>
      <c r="B36" s="47" t="s">
        <v>110</v>
      </c>
      <c r="C36" s="47"/>
      <c r="D36" s="47"/>
      <c r="E36" s="47" t="s">
        <v>170</v>
      </c>
      <c r="F36" s="96" t="s">
        <v>215</v>
      </c>
      <c r="G36" s="545" t="n">
        <f>_xlfn.XLOOKUP(A36,'Fondsdaten Auto'!$A$2:$A$9,'Fondsdaten Auto'!$C$2:$C$9)</f>
        <v>5.1</v>
      </c>
      <c r="H36" s="551" t="n">
        <f>_xlfn.XLOOKUP(A36,'Fondsdaten Auto'!$A$2:$A$9,'Fondsdaten Auto'!$D$2:$D$9)</f>
        <v>167.8</v>
      </c>
      <c r="I36" s="67" t="n">
        <f>Dividendenstrategie!S33</f>
        <v>0</v>
      </c>
      <c r="J36" s="111">
        <f t="shared" si="9"/>
        <v>0</v>
      </c>
      <c r="K36" s="107"/>
      <c r="L36" s="9"/>
      <c r="M36" s="9"/>
      <c r="N36" s="9"/>
      <c r="O36" s="9"/>
      <c r="P36" s="9"/>
      <c r="Q36" s="9"/>
      <c r="R36" s="9"/>
      <c r="S36" s="9"/>
      <c r="T36" s="9"/>
      <c r="U36" s="9" t="n">
        <f>J36</f>
        <v>0</v>
      </c>
      <c r="V36" s="9"/>
      <c r="W36" s="9" t="n">
        <f>SUM(U36:V36)</f>
        <v>0</v>
      </c>
      <c r="X36" s="9" t="n">
        <f>W36-(W36*30/100)</f>
        <v>0</v>
      </c>
      <c r="Y36" s="9" t="n">
        <f>X36*26.375/100</f>
        <v>0</v>
      </c>
      <c r="Z36" s="9" t="n">
        <f>W36-Y36</f>
        <v>0</v>
      </c>
      <c r="AA36" s="77"/>
    </row>
    <row r="37">
      <c r="A37" s="91"/>
      <c r="B37" s="65"/>
      <c r="C37" s="65"/>
      <c r="D37" s="65"/>
      <c r="E37" s="65"/>
      <c r="F37" s="96"/>
      <c r="G37" s="66"/>
      <c r="H37" s="90"/>
      <c r="I37" s="67"/>
      <c r="J37" s="111"/>
      <c r="K37" s="107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77"/>
    </row>
    <row r="38">
      <c r="A38" s="79" t="s">
        <v>113</v>
      </c>
      <c r="B38" s="48" t="s">
        <v>216</v>
      </c>
      <c r="C38" s="48"/>
      <c r="D38" s="48"/>
      <c r="E38" s="48" t="s">
        <v>171</v>
      </c>
      <c r="F38" s="96" t="s">
        <v>217</v>
      </c>
      <c r="G38" s="545" t="n">
        <f>_xlfn.XLOOKUP(A38,'Fondsdaten Auto'!$A$2:$A$9,'Fondsdaten Auto'!$C$2:$C$9)</f>
        <v>0.051</v>
      </c>
      <c r="H38" s="551" t="n">
        <f>_xlfn.XLOOKUP(A38,'Fondsdaten Auto'!$A$2:$A$9,'Fondsdaten Auto'!$D$2:$D$9)</f>
        <v>11.4</v>
      </c>
      <c r="I38" s="67" t="n">
        <f>Dividendenstrategie!S35</f>
        <v>0</v>
      </c>
      <c r="J38" s="111">
        <f t="shared" si="9"/>
        <v>0</v>
      </c>
      <c r="K38" s="107" t="n">
        <f>J38</f>
        <v>0</v>
      </c>
      <c r="L38" s="9" t="n">
        <f>J38</f>
        <v>0</v>
      </c>
      <c r="M38" s="9" t="n">
        <f>J38</f>
        <v>0</v>
      </c>
      <c r="N38" s="9" t="n">
        <f>J38</f>
        <v>0</v>
      </c>
      <c r="O38" s="9" t="n">
        <f>J38</f>
        <v>0</v>
      </c>
      <c r="P38" s="9" t="n">
        <f>J38</f>
        <v>0</v>
      </c>
      <c r="Q38" s="9" t="n">
        <f>J38</f>
        <v>0</v>
      </c>
      <c r="R38" s="9" t="n">
        <f>J38</f>
        <v>0</v>
      </c>
      <c r="S38" s="9" t="n">
        <f>J38</f>
        <v>0</v>
      </c>
      <c r="T38" s="9" t="n">
        <f>J38</f>
        <v>0</v>
      </c>
      <c r="U38" s="9" t="n">
        <f>J38</f>
        <v>0</v>
      </c>
      <c r="V38" s="9" t="n">
        <f>J38</f>
        <v>0</v>
      </c>
      <c r="W38" s="9" t="n">
        <f>SUM(K38:V38)</f>
        <v>0</v>
      </c>
      <c r="X38" s="9" t="n">
        <f>W38-(W38*30/100)</f>
        <v>0</v>
      </c>
      <c r="Y38" s="9" t="n">
        <f>X38*26.375/100</f>
        <v>0</v>
      </c>
      <c r="Z38" s="9" t="n">
        <f>W38-Y38</f>
        <v>0</v>
      </c>
      <c r="AA38" s="77" t="n">
        <f>Z38/12</f>
        <v>0</v>
      </c>
    </row>
    <row r="39">
      <c r="A39" s="91"/>
      <c r="B39" s="65"/>
      <c r="C39" s="65"/>
      <c r="D39" s="65"/>
      <c r="E39" s="65"/>
      <c r="F39" s="96"/>
      <c r="G39" s="66"/>
      <c r="H39" s="90"/>
      <c r="I39" s="67"/>
      <c r="J39" s="111"/>
      <c r="K39" s="107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77"/>
    </row>
    <row r="40">
      <c r="A40" s="79" t="s">
        <v>117</v>
      </c>
      <c r="B40" s="48" t="s">
        <v>218</v>
      </c>
      <c r="C40" s="48"/>
      <c r="D40" s="48"/>
      <c r="E40" s="48" t="s">
        <v>171</v>
      </c>
      <c r="F40" s="96" t="s">
        <v>217</v>
      </c>
      <c r="G40" s="545" t="n">
        <f>_xlfn.XLOOKUP(A40,'Fondsdaten Auto'!$A$2:$A$9,'Fondsdaten Auto'!$C$2:$C$9)</f>
        <v>0.586</v>
      </c>
      <c r="H40" s="551" t="n">
        <f>_xlfn.XLOOKUP(A40,'Fondsdaten Auto'!$A$2:$A$9,'Fondsdaten Auto'!$D$2:$D$9)</f>
        <v>117.42</v>
      </c>
      <c r="I40" s="67" t="n">
        <f>Dividendenstrategie!S37</f>
        <v>0</v>
      </c>
      <c r="J40" s="111">
        <f t="shared" si="9"/>
        <v>0</v>
      </c>
      <c r="K40" s="107" t="n">
        <f>J40</f>
        <v>0</v>
      </c>
      <c r="L40" s="9" t="n">
        <f>K40</f>
        <v>0</v>
      </c>
      <c r="M40" s="9" t="n">
        <f>K40</f>
        <v>0</v>
      </c>
      <c r="N40" s="9" t="n">
        <f>K40</f>
        <v>0</v>
      </c>
      <c r="O40" s="9" t="n">
        <f>K40</f>
        <v>0</v>
      </c>
      <c r="P40" s="9" t="n">
        <f>K40</f>
        <v>0</v>
      </c>
      <c r="Q40" s="9" t="n">
        <f>K40</f>
        <v>0</v>
      </c>
      <c r="R40" s="9" t="n">
        <f>K40</f>
        <v>0</v>
      </c>
      <c r="S40" s="9" t="n">
        <f>K40</f>
        <v>0</v>
      </c>
      <c r="T40" s="9" t="n">
        <f>K40</f>
        <v>0</v>
      </c>
      <c r="U40" s="9" t="n">
        <f>K40</f>
        <v>0</v>
      </c>
      <c r="V40" s="9" t="n">
        <f>K40</f>
        <v>0</v>
      </c>
      <c r="W40" s="9" t="n">
        <f>SUM(K40:V40)</f>
        <v>0</v>
      </c>
      <c r="X40" s="9" t="n">
        <f>W40-(W40*30/100)</f>
        <v>0</v>
      </c>
      <c r="Y40" s="9" t="n">
        <f>X40*26.375/100</f>
        <v>0</v>
      </c>
      <c r="Z40" s="9" t="n">
        <f>W40-Y40</f>
        <v>0</v>
      </c>
      <c r="AA40" s="77" t="n">
        <f>Z40/12</f>
        <v>0</v>
      </c>
    </row>
    <row r="41">
      <c r="A41" s="91"/>
      <c r="B41" s="65"/>
      <c r="C41" s="65"/>
      <c r="D41" s="65"/>
      <c r="E41" s="65"/>
      <c r="F41" s="96"/>
      <c r="G41" s="66"/>
      <c r="H41" s="90"/>
      <c r="I41" s="67"/>
      <c r="J41" s="111"/>
      <c r="K41" s="107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7"/>
    </row>
    <row r="42">
      <c r="A42" s="79" t="s">
        <v>121</v>
      </c>
      <c r="B42" s="490" t="s">
        <v>120</v>
      </c>
      <c r="C42" s="490"/>
      <c r="D42" s="490"/>
      <c r="E42" s="48" t="s">
        <v>171</v>
      </c>
      <c r="F42" s="96" t="s">
        <v>219</v>
      </c>
      <c r="G42" s="545" t="n">
        <f>_xlfn.XLOOKUP(A42,'Fondsdaten Auto'!$A$2:$A$9,'Fondsdaten Auto'!$C$2:$C$9)</f>
        <v>0.416</v>
      </c>
      <c r="H42" s="551" t="n">
        <f>_xlfn.XLOOKUP(A42,'Fondsdaten Auto'!$A$2:$A$9,'Fondsdaten Auto'!$D$2:$D$9)</f>
        <v>100.63</v>
      </c>
      <c r="I42" s="67" t="n">
        <f>Dividendenstrategie!S39</f>
        <v>0</v>
      </c>
      <c r="J42" s="111">
        <f t="shared" si="9"/>
        <v>0</v>
      </c>
      <c r="K42" s="107" t="n">
        <f t="shared" ref="K42:V42" si="10">J42</f>
        <v>0</v>
      </c>
      <c r="L42" s="9">
        <f t="shared" si="10"/>
        <v>0</v>
      </c>
      <c r="M42" s="9">
        <f t="shared" si="10"/>
        <v>0</v>
      </c>
      <c r="N42" s="9">
        <f t="shared" si="10"/>
        <v>0</v>
      </c>
      <c r="O42" s="9">
        <f t="shared" si="10"/>
        <v>0</v>
      </c>
      <c r="P42" s="9">
        <f t="shared" si="10"/>
        <v>0</v>
      </c>
      <c r="Q42" s="9">
        <f t="shared" si="10"/>
        <v>0</v>
      </c>
      <c r="R42" s="9">
        <f t="shared" si="10"/>
        <v>0</v>
      </c>
      <c r="S42" s="9">
        <f t="shared" si="10"/>
        <v>0</v>
      </c>
      <c r="T42" s="9">
        <f t="shared" si="10"/>
        <v>0</v>
      </c>
      <c r="U42" s="9">
        <f t="shared" si="10"/>
        <v>0</v>
      </c>
      <c r="V42" s="9">
        <f t="shared" si="10"/>
        <v>0</v>
      </c>
      <c r="W42" s="9" t="n">
        <f>SUM(K42:V42)</f>
        <v>0</v>
      </c>
      <c r="X42" s="9" t="n">
        <f>W42-(W42*15/100)</f>
        <v>0</v>
      </c>
      <c r="Y42" s="9" t="n">
        <f t="shared" ref="Y42" si="11">X42*26.375/100</f>
        <v>0</v>
      </c>
      <c r="Z42" s="9" t="n">
        <f t="shared" ref="Z42" si="12">W42-Y42</f>
        <v>0</v>
      </c>
      <c r="AA42" s="77" t="n">
        <f t="shared" ref="AA42" si="13">Z42/12</f>
        <v>0</v>
      </c>
    </row>
    <row r="43">
      <c r="A43" s="91"/>
      <c r="B43" s="65"/>
      <c r="C43" s="65"/>
      <c r="D43" s="65"/>
      <c r="E43" s="65"/>
      <c r="F43" s="96"/>
      <c r="G43" s="66"/>
      <c r="H43" s="90"/>
      <c r="I43" s="67"/>
      <c r="J43" s="111"/>
      <c r="K43" s="107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77"/>
    </row>
    <row r="44">
      <c r="A44" s="79" t="s">
        <v>125</v>
      </c>
      <c r="B44" s="48" t="s">
        <v>220</v>
      </c>
      <c r="C44" s="48"/>
      <c r="D44" s="48"/>
      <c r="E44" s="48" t="s">
        <v>171</v>
      </c>
      <c r="F44" s="96" t="s">
        <v>217</v>
      </c>
      <c r="G44" s="545" t="n">
        <f>_xlfn.XLOOKUP(A44,'Fondsdaten Auto'!$A$2:$A$9,'Fondsdaten Auto'!$C$2:$C$9)</f>
        <v>0.066</v>
      </c>
      <c r="H44" s="551" t="n">
        <f>_xlfn.XLOOKUP(A44,'Fondsdaten Auto'!$A$2:$A$9,'Fondsdaten Auto'!$D$2:$D$9)</f>
        <v>10.084</v>
      </c>
      <c r="I44" s="67" t="n">
        <f>Dividendenstrategie!S41</f>
        <v>0</v>
      </c>
      <c r="J44" s="111">
        <f t="shared" si="9"/>
        <v>0</v>
      </c>
      <c r="K44" s="107" t="n">
        <f>J44</f>
        <v>0</v>
      </c>
      <c r="L44" s="9" t="n">
        <f>J44</f>
        <v>0</v>
      </c>
      <c r="M44" s="9" t="n">
        <f>K44</f>
        <v>0</v>
      </c>
      <c r="N44" s="9" t="n">
        <f>K44</f>
        <v>0</v>
      </c>
      <c r="O44" s="9" t="n">
        <f>K44</f>
        <v>0</v>
      </c>
      <c r="P44" s="9" t="n">
        <f>K44</f>
        <v>0</v>
      </c>
      <c r="Q44" s="9" t="n">
        <f>K44</f>
        <v>0</v>
      </c>
      <c r="R44" s="9" t="n">
        <f>K44</f>
        <v>0</v>
      </c>
      <c r="S44" s="9" t="n">
        <f>K44</f>
        <v>0</v>
      </c>
      <c r="T44" s="9" t="n">
        <f>K44</f>
        <v>0</v>
      </c>
      <c r="U44" s="9" t="n">
        <f>K44</f>
        <v>0</v>
      </c>
      <c r="V44" s="9" t="n">
        <f>K44</f>
        <v>0</v>
      </c>
      <c r="W44" s="9" t="n">
        <f>SUM(K44:V44)</f>
        <v>0</v>
      </c>
      <c r="X44" s="9" t="n">
        <f t="shared" ref="X44" si="14">W44-(W44*15/100)</f>
        <v>0</v>
      </c>
      <c r="Y44" s="9" t="n">
        <f>X44*26.375/100</f>
        <v>0</v>
      </c>
      <c r="Z44" s="9" t="n">
        <f>W44-Y44</f>
        <v>0</v>
      </c>
      <c r="AA44" s="77" t="n">
        <f>Z44/12</f>
        <v>0</v>
      </c>
    </row>
    <row r="45">
      <c r="A45" s="91"/>
      <c r="B45" s="65"/>
      <c r="C45" s="65"/>
      <c r="D45" s="65"/>
      <c r="E45" s="65"/>
      <c r="F45" s="96"/>
      <c r="G45" s="66"/>
      <c r="H45" s="90"/>
      <c r="I45" s="67"/>
      <c r="J45" s="111"/>
      <c r="K45" s="107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77"/>
    </row>
    <row r="46" ht="15.75">
      <c r="A46" s="80" t="s">
        <v>129</v>
      </c>
      <c r="B46" s="49" t="s">
        <v>221</v>
      </c>
      <c r="C46" s="49"/>
      <c r="D46" s="49"/>
      <c r="E46" s="49" t="s">
        <v>171</v>
      </c>
      <c r="F46" s="97" t="s">
        <v>222</v>
      </c>
      <c r="G46" s="547" t="n">
        <f>_xlfn.XLOOKUP(A46,'Fondsdaten Auto'!$A$2:$A$9,'Fondsdaten Auto'!$C$2:$C$9)</f>
        <v>0.548</v>
      </c>
      <c r="H46" s="552" t="n">
        <f>_xlfn.XLOOKUP(A46,'Fondsdaten Auto'!$A$2:$A$9,'Fondsdaten Auto'!$D$2:$D$9)</f>
        <v>108.58</v>
      </c>
      <c r="I46" s="82" t="n">
        <f>Dividendenstrategie!S43</f>
        <v>0</v>
      </c>
      <c r="J46" s="83">
        <f t="shared" si="9"/>
        <v>0</v>
      </c>
      <c r="K46" s="108" t="n">
        <f>J46</f>
        <v>0</v>
      </c>
      <c r="L46" s="83" t="n">
        <f>K46</f>
        <v>0</v>
      </c>
      <c r="M46" s="83" t="n">
        <f>K46</f>
        <v>0</v>
      </c>
      <c r="N46" s="83" t="n">
        <f>K46</f>
        <v>0</v>
      </c>
      <c r="O46" s="83" t="n">
        <f>K46</f>
        <v>0</v>
      </c>
      <c r="P46" s="83" t="n">
        <f>K46</f>
        <v>0</v>
      </c>
      <c r="Q46" s="83" t="n">
        <f>K46</f>
        <v>0</v>
      </c>
      <c r="R46" s="83" t="n">
        <f>K46</f>
        <v>0</v>
      </c>
      <c r="S46" s="83" t="n">
        <f>K46</f>
        <v>0</v>
      </c>
      <c r="T46" s="83" t="n">
        <f>K46</f>
        <v>0</v>
      </c>
      <c r="U46" s="83" t="n">
        <f>K46</f>
        <v>0</v>
      </c>
      <c r="V46" s="83" t="n">
        <f>K46</f>
        <v>0</v>
      </c>
      <c r="W46" s="83" t="n">
        <f>SUM(K46:V46)</f>
        <v>0</v>
      </c>
      <c r="X46" s="83" t="n">
        <f>W46-(W46*30/100)</f>
        <v>0</v>
      </c>
      <c r="Y46" s="83" t="n">
        <f t="shared" ref="Y46" si="15">X46*26.375/100</f>
        <v>0</v>
      </c>
      <c r="Z46" s="83" t="n">
        <f t="shared" ref="Z46" si="16">W46-Y46</f>
        <v>0</v>
      </c>
      <c r="AA46" s="84" t="n">
        <f t="shared" ref="AA46" si="17">Z46/12</f>
        <v>0</v>
      </c>
    </row>
    <row r="47"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X47" s="22"/>
      <c r="Y47" s="22"/>
      <c r="Z47" s="22"/>
      <c r="AA47" s="22"/>
    </row>
  </sheetData>
  <mergeCells>
    <mergeCell ref="H6:H7"/>
    <mergeCell ref="I6:I7"/>
    <mergeCell ref="K6:K7"/>
    <mergeCell ref="L6:L7"/>
    <mergeCell ref="B19:D19"/>
    <mergeCell ref="B6:D7"/>
    <mergeCell ref="E6:E7"/>
    <mergeCell ref="F6:F7"/>
    <mergeCell ref="S6:S7"/>
    <mergeCell ref="T6:T7"/>
    <mergeCell ref="U6:U7"/>
    <mergeCell ref="V6:V7"/>
    <mergeCell ref="M6:M7"/>
    <mergeCell ref="N6:N7"/>
    <mergeCell ref="O6:O7"/>
    <mergeCell ref="P6:P7"/>
    <mergeCell ref="Q6:Q7"/>
    <mergeCell ref="R6:R7"/>
    <mergeCell ref="B2:C2"/>
    <mergeCell ref="D2:F2"/>
    <mergeCell ref="A29:A30"/>
    <mergeCell ref="B29:D30"/>
    <mergeCell ref="E29:E30"/>
    <mergeCell ref="F29:F30"/>
    <mergeCell ref="A6:A7"/>
    <mergeCell ref="U29:U30"/>
    <mergeCell ref="V29:V30"/>
    <mergeCell ref="B42:D42"/>
    <mergeCell ref="O29:O30"/>
    <mergeCell ref="P29:P30"/>
    <mergeCell ref="Q29:Q30"/>
    <mergeCell ref="R29:R30"/>
    <mergeCell ref="S29:S30"/>
    <mergeCell ref="T29:T30"/>
    <mergeCell ref="H29:H30"/>
    <mergeCell ref="I29:I30"/>
    <mergeCell ref="K29:K30"/>
    <mergeCell ref="L29:L30"/>
    <mergeCell ref="M29:M30"/>
    <mergeCell ref="N29:N30"/>
  </mergeCells>
  <pageMargins left="0.7" right="0.7" top="0.75" bottom="0.75" header="0.3" footer="0.3"/>
  <legacyDrawing r:id="rId_vml5"/>
</worksheet>
</file>

<file path=xl/worksheets/sheet6.xml><?xml version="1.0" encoding="utf-8"?>
<worksheet xmlns="http://schemas.openxmlformats.org/spreadsheetml/2006/main" xmlns:r="http://schemas.openxmlformats.org/officeDocument/2006/relationships">
  <sheetFormatPr defaultRowHeight="15"/>
  <cols>
    <col min="1" max="1" width="7.329999923706055" hidden="0" customWidth="1"/>
    <col min="2" max="2" width="38" hidden="0" customWidth="1"/>
    <col min="3" max="3" width="20.440000534057617" hidden="0" customWidth="1"/>
    <col min="4" max="4" width="17.559999465942383" hidden="0" customWidth="1"/>
    <col min="5" max="5" width="15.4399995803833" hidden="0" customWidth="1"/>
    <col min="6" max="6" width="65" hidden="0" customWidth="1"/>
  </cols>
  <sheetData>
    <row r="1">
      <c r="A1" s="526" t="str">
        <v>WKN</v>
      </c>
      <c r="B1" s="527" t="str">
        <v>Fondsname</v>
      </c>
      <c r="C1" s="527" t="str">
        <v>Letzte Ausschüttung EUR</v>
      </c>
      <c r="D1" s="527" t="str">
        <v>Rücknahmepreis EUR</v>
      </c>
      <c r="E1" s="527" t="str">
        <v>Stand</v>
      </c>
      <c r="F1" s="528" t="str">
        <v>Quelle</v>
      </c>
    </row>
    <row r="2">
      <c r="A2" s="529" t="str">
        <v>A12BH6</v>
      </c>
      <c r="B2" s="530" t="str">
        <v>AGIF-Allianz Europ. Eq. Div. Aktienzins A2</v>
      </c>
      <c r="C2" s="524" t="n">
        <v>4.287</v>
      </c>
      <c r="D2" s="524" t="n">
        <v>117.93</v>
      </c>
      <c r="E2" s="525" t="n">
        <v>46247.44734010417</v>
      </c>
      <c r="F2" s="531" t="str">
        <v>https://www.onvista.de/fonds/ALLIANZ-GIF-ALLIANZ-EUROPEAN-EQUITY-DIVIDEND-AKTIENZINS-A2-EUR-DIS-Fonds-LU1111122583</v>
      </c>
    </row>
    <row r="3">
      <c r="A3" s="529" t="str">
        <v>DWS0TN</v>
      </c>
      <c r="B3" s="530" t="str">
        <v>DWS Invest Gl. Infr. LD</v>
      </c>
      <c r="C3" s="524" t="n">
        <v>6.95</v>
      </c>
      <c r="D3" s="524" t="n">
        <v>167.8</v>
      </c>
      <c r="E3" s="525" t="n">
        <v>46247.44734010417</v>
      </c>
      <c r="F3" s="531" t="str">
        <v>https://www.onvista.de/fonds/DWS-INVEST-GLOBAL-INFRASTRUCTURE-LD-EUR-DIS-Fonds-LU0363470237</v>
      </c>
    </row>
    <row r="4">
      <c r="A4" s="529" t="str">
        <v>984811</v>
      </c>
      <c r="B4" s="530" t="str">
        <v>DWS Top Dividende LD</v>
      </c>
      <c r="C4" s="524" t="n">
        <v>5.1</v>
      </c>
      <c r="D4" s="524" t="n">
        <v>167.8</v>
      </c>
      <c r="E4" s="525" t="n">
        <v>46247.44734010417</v>
      </c>
      <c r="F4" s="531" t="str">
        <v>https://www.onvista.de/fonds/DWS-Top-Dividende-LD-Fonds-DE0009848119</v>
      </c>
    </row>
    <row r="5">
      <c r="A5" s="529" t="str">
        <v>A1W483</v>
      </c>
      <c r="B5" s="530" t="str">
        <v>AGIF-Allianz Europ.Eq.Div. AM</v>
      </c>
      <c r="C5" s="524" t="n">
        <v>0.051</v>
      </c>
      <c r="D5" s="524" t="n">
        <v>11.4</v>
      </c>
      <c r="E5" s="525" t="n">
        <v>46247.44734010417</v>
      </c>
      <c r="F5" s="531" t="str">
        <v>https://www.onvista.de/fonds/ALLIANZ-GIF-ALLIANZ-EUROPEAN-EQUITY-DIVIDEND-AM-EUR-DIS-Fonds-LU0971552913</v>
      </c>
    </row>
    <row r="6">
      <c r="A6" s="529" t="str">
        <v>DWS3JK</v>
      </c>
      <c r="B6" s="530" t="str">
        <v>DWS Invest Top Dividende LDM EUR</v>
      </c>
      <c r="C6" s="524" t="n">
        <v>0.586</v>
      </c>
      <c r="D6" s="524" t="n">
        <v>117.42</v>
      </c>
      <c r="E6" s="525" t="n">
        <v>46247.44734010417</v>
      </c>
      <c r="F6" s="531" t="str">
        <v>https://www.onvista.de/fonds/DWS-INV-TOP-DIVIDEND-ACT-PORT-LDM-EUR-DIS-ON-Fonds-LU2632499500</v>
      </c>
    </row>
    <row r="7">
      <c r="A7" s="529" t="str">
        <v>DWS3L8</v>
      </c>
      <c r="B7" s="530" t="str">
        <v>DWS InvestEuro High Yield Corporates LDM</v>
      </c>
      <c r="C7" s="524" t="n">
        <v>0.416</v>
      </c>
      <c r="D7" s="524" t="n">
        <v>100.63</v>
      </c>
      <c r="E7" s="525" t="n">
        <v>46247.44734010417</v>
      </c>
      <c r="F7" s="531" t="str">
        <v>https://www.onvista.de/fonds/DWS-Inv-Euro-High-Yield-Corp-Act-Port-LDM-EUR-Dis-oN-Fonds-LU2799048181</v>
      </c>
    </row>
    <row r="8">
      <c r="A8" s="529" t="str">
        <v>A408UY</v>
      </c>
      <c r="B8" s="530" t="str">
        <v>Allianz Income&amp;Growth AM EUR</v>
      </c>
      <c r="C8" s="524" t="n">
        <v>0.066</v>
      </c>
      <c r="D8" s="524" t="n">
        <v>10.084</v>
      </c>
      <c r="E8" s="525" t="n">
        <v>46247.44734010417</v>
      </c>
      <c r="F8" s="531" t="str">
        <v>https://www.onvista.de/fonds/AGIF-Allianz-Income-and-Growth-Act-Port-AM-EUR-Dis-oN-Fonds-LU2792127032</v>
      </c>
    </row>
    <row r="9">
      <c r="A9" s="532" t="str">
        <v>DWS3JL</v>
      </c>
      <c r="B9" s="533" t="str">
        <v>DWS Invest Gl. Infr. LDM EUR.</v>
      </c>
      <c r="C9" s="534" t="n">
        <v>0.548</v>
      </c>
      <c r="D9" s="534" t="n">
        <v>108.58</v>
      </c>
      <c r="E9" s="535" t="n">
        <v>46247.44734010417</v>
      </c>
      <c r="F9" s="536" t="str">
        <v>https://www.onvista.de/fonds/DWS-Invest-Global-Infrastructure-LDM-EUR-DIS-Fonds-LU2632499682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D7D54C-D4E7-4575-862A-637D5341B10B}">
  <ds:schemaRefs>
    <ds:schemaRef ds:uri="http://schemas.microsoft.com/DataMashup"/>
  </ds:schemaRefs>
</ds:datastoreItem>
</file>